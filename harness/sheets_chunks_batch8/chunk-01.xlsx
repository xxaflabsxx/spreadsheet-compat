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" sheetId="1" state="visible" r:id="rId1"/>
    <sheet xmlns:r="http://schemas.openxmlformats.org/officeDocument/2006/relationships" name="MUNIT_documented_3x3_unit_matri" sheetId="2" state="visible" r:id="rId2"/>
    <sheet xmlns:r="http://schemas.openxmlformats.org/officeDocument/2006/relationships" name="MUNIT_diagonal_entry_is_one" sheetId="3" state="visible" r:id="rId3"/>
    <sheet xmlns:r="http://schemas.openxmlformats.org/officeDocument/2006/relationships" name="MUNIT_off_diagonal_entry_is_zer" sheetId="4" state="visible" r:id="rId4"/>
    <sheet xmlns:r="http://schemas.openxmlformats.org/officeDocument/2006/relationships" name="MUNIT_is_the_multiplicative_ide" sheetId="5" state="visible" r:id="rId5"/>
    <sheet xmlns:r="http://schemas.openxmlformats.org/officeDocument/2006/relationships" name="MUNIT_zero_dimension" sheetId="6" state="visible" r:id="rId6"/>
    <sheet xmlns:r="http://schemas.openxmlformats.org/officeDocument/2006/relationships" name="MUNIT_negative_dimension" sheetId="7" state="visible" r:id="rId7"/>
    <sheet xmlns:r="http://schemas.openxmlformats.org/officeDocument/2006/relationships" name="NEGBINOM.DIST_documented_cumula" sheetId="8" state="visible" r:id="rId8"/>
    <sheet xmlns:r="http://schemas.openxmlformats.org/officeDocument/2006/relationships" name="NEGBINOM.DIST_documented_probab" sheetId="9" state="visible" r:id="rId9"/>
    <sheet xmlns:r="http://schemas.openxmlformats.org/officeDocument/2006/relationships" name="NEGBINOM.DIST_mass_full_precisi" sheetId="10" state="visible" r:id="rId10"/>
    <sheet xmlns:r="http://schemas.openxmlformats.org/officeDocument/2006/relationships" name="NEGBINOM.DIST_zero_failures_is_" sheetId="11" state="visible" r:id="rId11"/>
    <sheet xmlns:r="http://schemas.openxmlformats.org/officeDocument/2006/relationships" name="NEGBINOM.DIST_probability_above" sheetId="12" state="visible" r:id="rId12"/>
    <sheet xmlns:r="http://schemas.openxmlformats.org/officeDocument/2006/relationships" name="NEGBINOM.DIST_threshold_below_o" sheetId="13" state="visible" r:id="rId13"/>
    <sheet xmlns:r="http://schemas.openxmlformats.org/officeDocument/2006/relationships" name="NEGBINOM.DIST_nonnumeric_argume" sheetId="14" state="visible" r:id="rId14"/>
    <sheet xmlns:r="http://schemas.openxmlformats.org/officeDocument/2006/relationships" name="NEGBINOMDIST_documented_example" sheetId="15" state="visible" r:id="rId15"/>
    <sheet xmlns:r="http://schemas.openxmlformats.org/officeDocument/2006/relationships" name="NEGBINOMDIST_agrees_with_the_ne" sheetId="16" state="visible" r:id="rId16"/>
    <sheet xmlns:r="http://schemas.openxmlformats.org/officeDocument/2006/relationships" name="NEGBINOMDIST_probability_above_" sheetId="17" state="visible" r:id="rId17"/>
    <sheet xmlns:r="http://schemas.openxmlformats.org/officeDocument/2006/relationships" name="NEGBINOMDIST_negative_failures" sheetId="18" state="visible" r:id="rId18"/>
    <sheet xmlns:r="http://schemas.openxmlformats.org/officeDocument/2006/relationships" name="NEGBINOMDIST_nonnumeric_argumen" sheetId="19" state="visible" r:id="rId19"/>
    <sheet xmlns:r="http://schemas.openxmlformats.org/officeDocument/2006/relationships" name="NORMDIST_documented_cumulative" sheetId="20" state="visible" r:id="rId20"/>
    <sheet xmlns:r="http://schemas.openxmlformats.org/officeDocument/2006/relationships" name="NORMDIST_documented_density" sheetId="21" state="visible" r:id="rId21"/>
    <sheet xmlns:r="http://schemas.openxmlformats.org/officeDocument/2006/relationships" name="NORMDIST_cumulative_full_precis" sheetId="22" state="visible" r:id="rId22"/>
    <sheet xmlns:r="http://schemas.openxmlformats.org/officeDocument/2006/relationships" name="NORMDIST_standard_normal_equiva" sheetId="23" state="visible" r:id="rId23"/>
    <sheet xmlns:r="http://schemas.openxmlformats.org/officeDocument/2006/relationships" name="NORMDIST_zero_standard_deviatio" sheetId="24" state="visible" r:id="rId24"/>
    <sheet xmlns:r="http://schemas.openxmlformats.org/officeDocument/2006/relationships" name="NORMDIST_nonnumeric_mean" sheetId="25" state="visible" r:id="rId25"/>
    <sheet xmlns:r="http://schemas.openxmlformats.org/officeDocument/2006/relationships" name="NORMINV_documented_example" sheetId="26" state="visible" r:id="rId26"/>
    <sheet xmlns:r="http://schemas.openxmlformats.org/officeDocument/2006/relationships" name="NORMINV_full_precision" sheetId="27" state="visible" r:id="rId27"/>
    <sheet xmlns:r="http://schemas.openxmlformats.org/officeDocument/2006/relationships" name="NORMINV_round_trips_with_NORMDI" sheetId="28" state="visible" r:id="rId28"/>
    <sheet xmlns:r="http://schemas.openxmlformats.org/officeDocument/2006/relationships" name="NORMINV_probability_zero" sheetId="29" state="visible" r:id="rId29"/>
    <sheet xmlns:r="http://schemas.openxmlformats.org/officeDocument/2006/relationships" name="NORMINV_probability_one" sheetId="30" state="visible" r:id="rId30"/>
    <sheet xmlns:r="http://schemas.openxmlformats.org/officeDocument/2006/relationships" name="NORMINV_zero_standard_deviation" sheetId="31" state="visible" r:id="rId31"/>
    <sheet xmlns:r="http://schemas.openxmlformats.org/officeDocument/2006/relationships" name="NORMINV_nonnumeric_argument" sheetId="32" state="visible" r:id="rId32"/>
    <sheet xmlns:r="http://schemas.openxmlformats.org/officeDocument/2006/relationships" name="NORMSDIST_documented_example" sheetId="33" state="visible" r:id="rId33"/>
    <sheet xmlns:r="http://schemas.openxmlformats.org/officeDocument/2006/relationships" name="NORMSDIST_full_precision" sheetId="34" state="visible" r:id="rId34"/>
    <sheet xmlns:r="http://schemas.openxmlformats.org/officeDocument/2006/relationships" name="NORMSDIST_at_zero_is_one_half" sheetId="35" state="visible" r:id="rId35"/>
    <sheet xmlns:r="http://schemas.openxmlformats.org/officeDocument/2006/relationships" name="NORMSDIST_symmetry" sheetId="36" state="visible" r:id="rId36"/>
    <sheet xmlns:r="http://schemas.openxmlformats.org/officeDocument/2006/relationships" name="NORMSDIST_nonnumeric_argument" sheetId="37" state="visible" r:id="rId37"/>
    <sheet xmlns:r="http://schemas.openxmlformats.org/officeDocument/2006/relationships" name="NORMSINV_documented_example" sheetId="38" state="visible" r:id="rId38"/>
    <sheet xmlns:r="http://schemas.openxmlformats.org/officeDocument/2006/relationships" name="NORMSINV_full_precision" sheetId="39" state="visible" r:id="rId39"/>
    <sheet xmlns:r="http://schemas.openxmlformats.org/officeDocument/2006/relationships" name="NORMSINV_median_is_zero" sheetId="40" state="visible" r:id="rId40"/>
    <sheet xmlns:r="http://schemas.openxmlformats.org/officeDocument/2006/relationships" name="NORMSINV_round_trips_with_NORMS" sheetId="41" state="visible" r:id="rId41"/>
    <sheet xmlns:r="http://schemas.openxmlformats.org/officeDocument/2006/relationships" name="NORMSINV_probability_zero" sheetId="42" state="visible" r:id="rId42"/>
    <sheet xmlns:r="http://schemas.openxmlformats.org/officeDocument/2006/relationships" name="NORMSINV_probability_one" sheetId="43" state="visible" r:id="rId43"/>
    <sheet xmlns:r="http://schemas.openxmlformats.org/officeDocument/2006/relationships" name="NORMSINV_nonnumeric_argument" sheetId="44" state="visible" r:id="rId44"/>
    <sheet xmlns:r="http://schemas.openxmlformats.org/officeDocument/2006/relationships" name="ODDFPRICE_documented_example_pu" sheetId="45" state="visible" r:id="rId45"/>
    <sheet xmlns:r="http://schemas.openxmlformats.org/officeDocument/2006/relationships" name="ODDFPRICE_documented_example_fu" sheetId="46" state="visible" r:id="rId46"/>
    <sheet xmlns:r="http://schemas.openxmlformats.org/officeDocument/2006/relationships" name="ODDFPRICE_same_bond_on_30_360_b" sheetId="47" state="visible" r:id="rId47"/>
    <sheet xmlns:r="http://schemas.openxmlformats.org/officeDocument/2006/relationships" name="ODDFPRICE_negative_rate" sheetId="48" state="visible" r:id="rId48"/>
    <sheet xmlns:r="http://schemas.openxmlformats.org/officeDocument/2006/relationships" name="ODDFPRICE_basis_out_of_range" sheetId="49" state="visible" r:id="rId49"/>
    <sheet xmlns:r="http://schemas.openxmlformats.org/officeDocument/2006/relationships" name="ODDFPRICE_date_order_violated" sheetId="50" state="visible" r:id="rId50"/>
    <sheet xmlns:r="http://schemas.openxmlformats.org/officeDocument/2006/relationships" name="ODDFPRICE_invalid_date" sheetId="51" state="visible" r:id="rId51"/>
    <sheet xmlns:r="http://schemas.openxmlformats.org/officeDocument/2006/relationships" name="ODDFYIELD_documented_example_pu" sheetId="52" state="visible" r:id="rId52"/>
    <sheet xmlns:r="http://schemas.openxmlformats.org/officeDocument/2006/relationships" name="ODDFYIELD_documented_example_fu" sheetId="53" state="visible" r:id="rId53"/>
    <sheet xmlns:r="http://schemas.openxmlformats.org/officeDocument/2006/relationships" name="ODDFYIELD_inverts_ODDFPRICE" sheetId="54" state="visible" r:id="rId54"/>
    <sheet xmlns:r="http://schemas.openxmlformats.org/officeDocument/2006/relationships" name="ODDFYIELD_zero_price" sheetId="55" state="visible" r:id="rId55"/>
    <sheet xmlns:r="http://schemas.openxmlformats.org/officeDocument/2006/relationships" name="ODDFYIELD_basis_out_of_range" sheetId="56" state="visible" r:id="rId56"/>
    <sheet xmlns:r="http://schemas.openxmlformats.org/officeDocument/2006/relationships" name="ODDFYIELD_date_order_violated" sheetId="57" state="visible" r:id="rId57"/>
    <sheet xmlns:r="http://schemas.openxmlformats.org/officeDocument/2006/relationships" name="ODDLPRICE_documented_example_pu" sheetId="58" state="visible" r:id="rId58"/>
    <sheet xmlns:r="http://schemas.openxmlformats.org/officeDocument/2006/relationships" name="ODDLPRICE_documented_example_fu" sheetId="59" state="visible" r:id="rId59"/>
    <sheet xmlns:r="http://schemas.openxmlformats.org/officeDocument/2006/relationships" name="ODDLPRICE_libreoffice_documente" sheetId="60" state="visible" r:id="rId60"/>
    <sheet xmlns:r="http://schemas.openxmlformats.org/officeDocument/2006/relationships" name="ODDLPRICE_negative_yield" sheetId="61" state="visible" r:id="rId61"/>
    <sheet xmlns:r="http://schemas.openxmlformats.org/officeDocument/2006/relationships" name="ODDLPRICE_basis_out_of_range" sheetId="62" state="visible" r:id="rId62"/>
    <sheet xmlns:r="http://schemas.openxmlformats.org/officeDocument/2006/relationships" name="ODDLPRICE_date_order_violated" sheetId="63" state="visible" r:id="rId63"/>
    <sheet xmlns:r="http://schemas.openxmlformats.org/officeDocument/2006/relationships" name="ODDLPRICE_invalid_date" sheetId="64" state="visible" r:id="rId64"/>
    <sheet xmlns:r="http://schemas.openxmlformats.org/officeDocument/2006/relationships" name="ODDLYIELD_documented_example_pu" sheetId="65" state="visible" r:id="rId65"/>
    <sheet xmlns:r="http://schemas.openxmlformats.org/officeDocument/2006/relationships" name="ODDLYIELD_documented_example_fu" sheetId="66" state="visible" r:id="rId66"/>
    <sheet xmlns:r="http://schemas.openxmlformats.org/officeDocument/2006/relationships" name="ODDLYIELD_libreoffice_documente" sheetId="67" state="visible" r:id="rId67"/>
    <sheet xmlns:r="http://schemas.openxmlformats.org/officeDocument/2006/relationships" name="ODDLYIELD_inverts_ODDLPRICE" sheetId="68" state="visible" r:id="rId68"/>
    <sheet xmlns:r="http://schemas.openxmlformats.org/officeDocument/2006/relationships" name="ODDLYIELD_zero_price" sheetId="69" state="visible" r:id="rId69"/>
    <sheet xmlns:r="http://schemas.openxmlformats.org/officeDocument/2006/relationships" name="ODDLYIELD_basis_out_of_range" sheetId="70" state="visible" r:id="rId70"/>
    <sheet xmlns:r="http://schemas.openxmlformats.org/officeDocument/2006/relationships" name="ODDLYIELD_date_order_violated" sheetId="71" state="visible" r:id="rId71"/>
    <sheet xmlns:r="http://schemas.openxmlformats.org/officeDocument/2006/relationships" name="ODDLYIELD_invalid_date" sheetId="72" state="visible" r:id="rId72"/>
    <sheet xmlns:r="http://schemas.openxmlformats.org/officeDocument/2006/relationships" name="PERCENTOF_subset_share_of_total" sheetId="73" state="visible" r:id="rId73"/>
    <sheet xmlns:r="http://schemas.openxmlformats.org/officeDocument/2006/relationships" name="PERCENTOF_matches_sum_over_sum" sheetId="74" state="visible" r:id="rId74"/>
    <sheet xmlns:r="http://schemas.openxmlformats.org/officeDocument/2006/relationships" name="PERCENTOF_whole_set_is_one" sheetId="75" state="visible" r:id="rId75"/>
    <sheet xmlns:r="http://schemas.openxmlformats.org/officeDocument/2006/relationships" name="PERCENTOF_single_cell_subset" sheetId="76" state="visible" r:id="rId76"/>
    <sheet xmlns:r="http://schemas.openxmlformats.org/officeDocument/2006/relationships" name="PERCENTRANK.EXC_documented_exac" sheetId="77" state="visible" r:id="rId77"/>
    <sheet xmlns:r="http://schemas.openxmlformats.org/officeDocument/2006/relationships" name="PERCENTRANK.EXC_documented_inte" sheetId="78" state="visible" r:id="rId78"/>
    <sheet xmlns:r="http://schemas.openxmlformats.org/officeDocument/2006/relationships" name="PERCENTRANK.EXC_documented_sign" sheetId="79" state="visible" r:id="rId79"/>
    <sheet xmlns:r="http://schemas.openxmlformats.org/officeDocument/2006/relationships" name="PERCENTRANK.EXC_smallest_value_" sheetId="80" state="visible" r:id="rId80"/>
    <sheet xmlns:r="http://schemas.openxmlformats.org/officeDocument/2006/relationships" name="PERCENTRANK.EXC_significance_be" sheetId="81" state="visible" r:id="rId81"/>
    <sheet xmlns:r="http://schemas.openxmlformats.org/officeDocument/2006/relationships" name="PERCENTRANK.EXC_empty_array" sheetId="82" state="visible" r:id="rId82"/>
    <sheet xmlns:r="http://schemas.openxmlformats.org/officeDocument/2006/relationships" name="PERCENTRANK.INC_documented_exam" sheetId="83" state="visible" r:id="rId83"/>
    <sheet xmlns:r="http://schemas.openxmlformats.org/officeDocument/2006/relationships" name="PERCENTRANK.INC_documented_trun" sheetId="84" state="visible" r:id="rId84"/>
    <sheet xmlns:r="http://schemas.openxmlformats.org/officeDocument/2006/relationships" name="PERCENTRANK.INC_documented_two_" sheetId="85" state="visible" r:id="rId85"/>
    <sheet xmlns:r="http://schemas.openxmlformats.org/officeDocument/2006/relationships" name="PERCENTRANK.INC_documented_inte" sheetId="86" state="visible" r:id="rId86"/>
    <sheet xmlns:r="http://schemas.openxmlformats.org/officeDocument/2006/relationships" name="PERCENTRANK.INC_largest_value_i" sheetId="87" state="visible" r:id="rId87"/>
    <sheet xmlns:r="http://schemas.openxmlformats.org/officeDocument/2006/relationships" name="PERCENTRANK.INC_significance_be" sheetId="88" state="visible" r:id="rId88"/>
    <sheet xmlns:r="http://schemas.openxmlformats.org/officeDocument/2006/relationships" name="PERCENTRANK.INC_empty_array" sheetId="89" state="visible" r:id="rId89"/>
    <sheet xmlns:r="http://schemas.openxmlformats.org/officeDocument/2006/relationships" name="PERMUT_documented_example" sheetId="90" state="visible" r:id="rId90"/>
    <sheet xmlns:r="http://schemas.openxmlformats.org/officeDocument/2006/relationships" name="PERMUT_documented_small_case" sheetId="91" state="visible" r:id="rId91"/>
    <sheet xmlns:r="http://schemas.openxmlformats.org/officeDocument/2006/relationships" name="PERMUT_choose_none" sheetId="92" state="visible" r:id="rId92"/>
    <sheet xmlns:r="http://schemas.openxmlformats.org/officeDocument/2006/relationships" name="PERMUT_arguments_are_truncated" sheetId="93" state="visible" r:id="rId93"/>
    <sheet xmlns:r="http://schemas.openxmlformats.org/officeDocument/2006/relationships" name="PERMUT_number_below_chosen" sheetId="94" state="visible" r:id="rId94"/>
    <sheet xmlns:r="http://schemas.openxmlformats.org/officeDocument/2006/relationships" name="PERMUT_zero_objects" sheetId="95" state="visible" r:id="rId95"/>
    <sheet xmlns:r="http://schemas.openxmlformats.org/officeDocument/2006/relationships" name="PERMUT_nonnumeric_argument" sheetId="96" state="visible" r:id="rId96"/>
    <sheet xmlns:r="http://schemas.openxmlformats.org/officeDocument/2006/relationships" name="PERMUTATIONA_documented_example" sheetId="97" state="visible" r:id="rId97"/>
    <sheet xmlns:r="http://schemas.openxmlformats.org/officeDocument/2006/relationships" name="PERMUTATIONA_documented_second_" sheetId="98" state="visible" r:id="rId98"/>
    <sheet xmlns:r="http://schemas.openxmlformats.org/officeDocument/2006/relationships" name="PERMUTATIONA_arguments_are_trun" sheetId="99" state="visible" r:id="rId99"/>
    <sheet xmlns:r="http://schemas.openxmlformats.org/officeDocument/2006/relationships" name="PERMUTATIONA_zero_objects_zero_" sheetId="100" state="visible" r:id="rId100"/>
    <sheet xmlns:r="http://schemas.openxmlformats.org/officeDocument/2006/relationships" name="PERMUTATIONA_zero_objects_one_c" sheetId="101" state="visible" r:id="rId101"/>
    <sheet xmlns:r="http://schemas.openxmlformats.org/officeDocument/2006/relationships" name="PERMUTATIONA_nonnumeric_argumen" sheetId="102" state="visible" r:id="rId102"/>
    <sheet xmlns:r="http://schemas.openxmlformats.org/officeDocument/2006/relationships" name="PHI_documented_example" sheetId="103" state="visible" r:id="rId103"/>
    <sheet xmlns:r="http://schemas.openxmlformats.org/officeDocument/2006/relationships" name="PHI_full_precision" sheetId="104" state="visible" r:id="rId104"/>
    <sheet xmlns:r="http://schemas.openxmlformats.org/officeDocument/2006/relationships" name="PHI_at_zero_is_the_peak" sheetId="105" state="visible" r:id="rId105"/>
    <sheet xmlns:r="http://schemas.openxmlformats.org/officeDocument/2006/relationships" name="PHI_matches_NORM.S.DIST_density" sheetId="106" state="visible" r:id="rId106"/>
    <sheet xmlns:r="http://schemas.openxmlformats.org/officeDocument/2006/relationships" name="PHI_symmetry" sheetId="107" state="visible" r:id="rId107"/>
    <sheet xmlns:r="http://schemas.openxmlformats.org/officeDocument/2006/relationships" name="PHI_nonnumeric_argument" sheetId="108" state="visible" r:id="rId108"/>
    <sheet xmlns:r="http://schemas.openxmlformats.org/officeDocument/2006/relationships" name="PHONETIC_nonadjacent_range" sheetId="109" state="visible" r:id="rId109"/>
    <sheet xmlns:r="http://schemas.openxmlformats.org/officeDocument/2006/relationships" name="PHONETIC_latin_text_probe" sheetId="110" state="visible" r:id="rId110"/>
    <sheet xmlns:r="http://schemas.openxmlformats.org/officeDocument/2006/relationships" name="PHONETIC_range_upper_left_probe" sheetId="111" state="visible" r:id="rId111"/>
    <sheet xmlns:r="http://schemas.openxmlformats.org/officeDocument/2006/relationships" name="POISSON_documented_cumulative" sheetId="112" state="visible" r:id="rId112"/>
    <sheet xmlns:r="http://schemas.openxmlformats.org/officeDocument/2006/relationships" name="POISSON_documented_mass" sheetId="113" state="visible" r:id="rId113"/>
    <sheet xmlns:r="http://schemas.openxmlformats.org/officeDocument/2006/relationships" name="POISSON_cumulative_full_precisi" sheetId="114" state="visible" r:id="rId114"/>
    <sheet xmlns:r="http://schemas.openxmlformats.org/officeDocument/2006/relationships" name="POISSON_x_is_truncated" sheetId="115" state="visible" r:id="rId115"/>
    <sheet xmlns:r="http://schemas.openxmlformats.org/officeDocument/2006/relationships" name="POISSON_negative_x" sheetId="116" state="visible" r:id="rId116"/>
    <sheet xmlns:r="http://schemas.openxmlformats.org/officeDocument/2006/relationships" name="POISSON_negative_mean" sheetId="117" state="visible" r:id="rId117"/>
    <sheet xmlns:r="http://schemas.openxmlformats.org/officeDocument/2006/relationships" name="POISSON_nonnumeric_argument" sheetId="118" state="visible" r:id="rId118"/>
    <sheet xmlns:r="http://schemas.openxmlformats.org/officeDocument/2006/relationships" name="POISSON.DIST_documented_cumulat" sheetId="119" state="visible" r:id="rId119"/>
    <sheet xmlns:r="http://schemas.openxmlformats.org/officeDocument/2006/relationships" name="POISSON.DIST_documented_mass" sheetId="120" state="visible" r:id="rId120"/>
    <sheet xmlns:r="http://schemas.openxmlformats.org/officeDocument/2006/relationships" name="POISSON.DIST_mass_full_precisio" sheetId="121" state="visible" r:id="rId121"/>
    <sheet xmlns:r="http://schemas.openxmlformats.org/officeDocument/2006/relationships" name="POISSON.DIST_agrees_with_the_ol" sheetId="122" state="visible" r:id="rId122"/>
    <sheet xmlns:r="http://schemas.openxmlformats.org/officeDocument/2006/relationships" name="POISSON.DIST_negative_x" sheetId="123" state="visible" r:id="rId123"/>
    <sheet xmlns:r="http://schemas.openxmlformats.org/officeDocument/2006/relationships" name="POISSON.DIST_negative_mean" sheetId="124" state="visible" r:id="rId124"/>
    <sheet xmlns:r="http://schemas.openxmlformats.org/officeDocument/2006/relationships" name="POISSON.DIST_nonnumeric_argumen" sheetId="125" state="visible" r:id="rId125"/>
    <sheet xmlns:r="http://schemas.openxmlformats.org/officeDocument/2006/relationships" name="PRICE_documented_example_publis" sheetId="126" state="visible" r:id="rId126"/>
    <sheet xmlns:r="http://schemas.openxmlformats.org/officeDocument/2006/relationships" name="PRICE_documented_example_full_p" sheetId="127" state="visible" r:id="rId127"/>
    <sheet xmlns:r="http://schemas.openxmlformats.org/officeDocument/2006/relationships" name="PRICE_par_bond_on_a_coupon_date" sheetId="128" state="visible" r:id="rId128"/>
    <sheet xmlns:r="http://schemas.openxmlformats.org/officeDocument/2006/relationships" name="PRICE_invalid_frequency" sheetId="129" state="visible" r:id="rId129"/>
    <sheet xmlns:r="http://schemas.openxmlformats.org/officeDocument/2006/relationships" name="PRICE_basis_out_of_range" sheetId="130" state="visible" r:id="rId130"/>
    <sheet xmlns:r="http://schemas.openxmlformats.org/officeDocument/2006/relationships" name="PRICE_settlement_not_before_mat" sheetId="131" state="visible" r:id="rId131"/>
    <sheet xmlns:r="http://schemas.openxmlformats.org/officeDocument/2006/relationships" name="PRICE_zero_redemption" sheetId="132" state="visible" r:id="rId132"/>
    <sheet xmlns:r="http://schemas.openxmlformats.org/officeDocument/2006/relationships" name="PRICE_invalid_date" sheetId="133" state="visible" r:id="rId133"/>
    <sheet xmlns:r="http://schemas.openxmlformats.org/officeDocument/2006/relationships" name="PRICEDISC_documented_example_pu" sheetId="134" state="visible" r:id="rId134"/>
    <sheet xmlns:r="http://schemas.openxmlformats.org/officeDocument/2006/relationships" name="PRICEDISC_documented_example_fu" sheetId="135" state="visible" r:id="rId135"/>
    <sheet xmlns:r="http://schemas.openxmlformats.org/officeDocument/2006/relationships" name="PRICEDISC_zero_discount" sheetId="136" state="visible" r:id="rId136"/>
    <sheet xmlns:r="http://schemas.openxmlformats.org/officeDocument/2006/relationships" name="PRICEDISC_basis_out_of_range" sheetId="137" state="visible" r:id="rId137"/>
    <sheet xmlns:r="http://schemas.openxmlformats.org/officeDocument/2006/relationships" name="PRICEDISC_settlement_not_before" sheetId="138" state="visible" r:id="rId138"/>
    <sheet xmlns:r="http://schemas.openxmlformats.org/officeDocument/2006/relationships" name="PRICEDISC_invalid_date" sheetId="139" state="visible" r:id="rId139"/>
    <sheet xmlns:r="http://schemas.openxmlformats.org/officeDocument/2006/relationships" name="PRICEMAT_documented_example_pub" sheetId="140" state="visible" r:id="rId140"/>
    <sheet xmlns:r="http://schemas.openxmlformats.org/officeDocument/2006/relationships" name="PRICEMAT_documented_example_ful" sheetId="141" state="visible" r:id="rId141"/>
    <sheet xmlns:r="http://schemas.openxmlformats.org/officeDocument/2006/relationships" name="PRICEMAT_zero_rate_and_yield_is" sheetId="142" state="visible" r:id="rId142"/>
    <sheet xmlns:r="http://schemas.openxmlformats.org/officeDocument/2006/relationships" name="PRICEMAT_negative_rate" sheetId="143" state="visible" r:id="rId143"/>
    <sheet xmlns:r="http://schemas.openxmlformats.org/officeDocument/2006/relationships" name="PRICEMAT_basis_out_of_range" sheetId="144" state="visible" r:id="rId144"/>
    <sheet xmlns:r="http://schemas.openxmlformats.org/officeDocument/2006/relationships" name="PRICEMAT_settlement_not_before_" sheetId="145" state="visible" r:id="rId145"/>
    <sheet xmlns:r="http://schemas.openxmlformats.org/officeDocument/2006/relationships" name="PRICEMAT_invalid_date" sheetId="146" state="visible" r:id="rId146"/>
    <sheet xmlns:r="http://schemas.openxmlformats.org/officeDocument/2006/relationships" name="PROB_documented_single_limit" sheetId="147" state="visible" r:id="rId147"/>
    <sheet xmlns:r="http://schemas.openxmlformats.org/officeDocument/2006/relationships" name="PROB_documented_range" sheetId="148" state="visible" r:id="rId148"/>
    <sheet xmlns:r="http://schemas.openxmlformats.org/officeDocument/2006/relationships" name="PROB_whole_range_is_one" sheetId="149" state="visible" r:id="rId149"/>
    <sheet xmlns:r="http://schemas.openxmlformats.org/officeDocument/2006/relationships" name="PROB_probabilities_do_not_sum_t" sheetId="150" state="visible" r:id="rId150"/>
    <sheet xmlns:r="http://schemas.openxmlformats.org/officeDocument/2006/relationships" name="PROB_probability_above_one" sheetId="151" state="visible" r:id="rId151"/>
    <sheet xmlns:r="http://schemas.openxmlformats.org/officeDocument/2006/relationships" name="PROB_mismatched_range_lengths" sheetId="152" state="visible" r:id="rId152"/>
    <sheet xmlns:r="http://schemas.openxmlformats.org/officeDocument/2006/relationships" name="RECEIVED_documented_example_pub" sheetId="153" state="visible" r:id="rId153"/>
    <sheet xmlns:r="http://schemas.openxmlformats.org/officeDocument/2006/relationships" name="RECEIVED_documented_example_ful" sheetId="154" state="visible" r:id="rId154"/>
    <sheet xmlns:r="http://schemas.openxmlformats.org/officeDocument/2006/relationships" name="RECEIVED_zero_investment" sheetId="155" state="visible" r:id="rId155"/>
    <sheet xmlns:r="http://schemas.openxmlformats.org/officeDocument/2006/relationships" name="RECEIVED_zero_discount" sheetId="156" state="visible" r:id="rId156"/>
    <sheet xmlns:r="http://schemas.openxmlformats.org/officeDocument/2006/relationships" name="RECEIVED_basis_out_of_range" sheetId="157" state="visible" r:id="rId157"/>
    <sheet xmlns:r="http://schemas.openxmlformats.org/officeDocument/2006/relationships" name="RECEIVED_settlement_not_before_" sheetId="158" state="visible" r:id="rId158"/>
    <sheet xmlns:r="http://schemas.openxmlformats.org/officeDocument/2006/relationships" name="RECEIVED_invalid_date" sheetId="159" state="visible" r:id="rId159"/>
    <sheet xmlns:r="http://schemas.openxmlformats.org/officeDocument/2006/relationships" name="REGEXEXTRACT_documented_first_m" sheetId="160" state="visible" r:id="rId160"/>
    <sheet xmlns:r="http://schemas.openxmlformats.org/officeDocument/2006/relationships" name="REGEXEXTRACT_documented_all_mat" sheetId="161" state="visible" r:id="rId161"/>
    <sheet xmlns:r="http://schemas.openxmlformats.org/officeDocument/2006/relationships" name="REGEXEXTRACT_documented_capture" sheetId="162" state="visible" r:id="rId162"/>
    <sheet xmlns:r="http://schemas.openxmlformats.org/officeDocument/2006/relationships" name="REGEXEXTRACT_case_insensitive" sheetId="163" state="visible" r:id="rId163"/>
    <sheet xmlns:r="http://schemas.openxmlformats.org/officeDocument/2006/relationships" name="REGEXEXTRACT_no_match" sheetId="164" state="visible" r:id="rId164"/>
    <sheet xmlns:r="http://schemas.openxmlformats.org/officeDocument/2006/relationships" name="REGEXREPLACE_documented_phone_d" sheetId="165" state="visible" r:id="rId165"/>
    <sheet xmlns:r="http://schemas.openxmlformats.org/officeDocument/2006/relationships" name="REGEXREPLACE_default_replaces_e" sheetId="166" state="visible" r:id="rId166"/>
    <sheet xmlns:r="http://schemas.openxmlformats.org/officeDocument/2006/relationships" name="REGEXREPLACE_negative_occurrenc" sheetId="167" state="visible" r:id="rId167"/>
    <sheet xmlns:r="http://schemas.openxmlformats.org/officeDocument/2006/relationships" name="REGEXREPLACE_case_insensitive" sheetId="168" state="visible" r:id="rId168"/>
    <sheet xmlns:r="http://schemas.openxmlformats.org/officeDocument/2006/relationships" name="REGEXREPLACE_no_match_returns_t" sheetId="169" state="visible" r:id="rId169"/>
    <sheet xmlns:r="http://schemas.openxmlformats.org/officeDocument/2006/relationships" name="REGEXTEST_documented_contains_l" sheetId="170" state="visible" r:id="rId170"/>
    <sheet xmlns:r="http://schemas.openxmlformats.org/officeDocument/2006/relationships" name="REGEXTEST_documented_lower_case" sheetId="171" state="visible" r:id="rId171"/>
    <sheet xmlns:r="http://schemas.openxmlformats.org/officeDocument/2006/relationships" name="REGEXTEST_documented_upper_case" sheetId="172" state="visible" r:id="rId172"/>
    <sheet xmlns:r="http://schemas.openxmlformats.org/officeDocument/2006/relationships" name="REGEXTEST_documented_digit_clas" sheetId="173" state="visible" r:id="rId173"/>
    <sheet xmlns:r="http://schemas.openxmlformats.org/officeDocument/2006/relationships" name="REGEXTEST_documented_phone_patt" sheetId="174" state="visible" r:id="rId174"/>
    <sheet xmlns:r="http://schemas.openxmlformats.org/officeDocument/2006/relationships" name="REGEXTEST_documented_phone_pa~2" sheetId="175" state="visible" r:id="rId175"/>
    <sheet xmlns:r="http://schemas.openxmlformats.org/officeDocument/2006/relationships" name="REGEXTEST_case_insensitive" sheetId="176" state="visible" r:id="rId176"/>
    <sheet xmlns:r="http://schemas.openxmlformats.org/officeDocument/2006/relationships" name="REPLACEB_documented_five_charac" sheetId="177" state="visible" r:id="rId177"/>
    <sheet xmlns:r="http://schemas.openxmlformats.org/officeDocument/2006/relationships" name="REPLACEB_documented_two_digits" sheetId="178" state="visible" r:id="rId178"/>
    <sheet xmlns:r="http://schemas.openxmlformats.org/officeDocument/2006/relationships" name="REPLACEB_documented_first_three" sheetId="179" state="visible" r:id="rId179"/>
    <sheet xmlns:r="http://schemas.openxmlformats.org/officeDocument/2006/relationships" name="REPLACEB_zero_length_insertion" sheetId="180" state="visible" r:id="rId180"/>
    <sheet xmlns:r="http://schemas.openxmlformats.org/officeDocument/2006/relationships" name="REPLACEB_double_byte_probe" sheetId="181" state="visible" r:id="rId181"/>
    <sheet xmlns:r="http://schemas.openxmlformats.org/officeDocument/2006/relationships" name="RIGHTB_documented_five_characte" sheetId="182" state="visible" r:id="rId182"/>
    <sheet xmlns:r="http://schemas.openxmlformats.org/officeDocument/2006/relationships" name="RIGHTB_num_bytes_omitted" sheetId="183" state="visible" r:id="rId183"/>
    <sheet xmlns:r="http://schemas.openxmlformats.org/officeDocument/2006/relationships" name="RIGHTB_count_exceeds_length" sheetId="184" state="visible" r:id="rId184"/>
    <sheet xmlns:r="http://schemas.openxmlformats.org/officeDocument/2006/relationships" name="RIGHTB_zero_count" sheetId="185" state="visible" r:id="rId185"/>
    <sheet xmlns:r="http://schemas.openxmlformats.org/officeDocument/2006/relationships" name="RIGHTB_negative_count" sheetId="186" state="visible" r:id="rId186"/>
    <sheet xmlns:r="http://schemas.openxmlformats.org/officeDocument/2006/relationships" name="RIGHTB_double_byte_probe" sheetId="187" state="visible" r:id="rId1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styles" Target="styles.xml" Id="rId188"/><Relationship Type="http://schemas.openxmlformats.org/officeDocument/2006/relationships/theme" Target="theme/theme1.xml" Id="rId18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>
        <f>NOW()</f>
        <v/>
      </c>
    </row>
    <row r="2">
      <c r="A2">
        <f>1111+2222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H1:Z30"/>
  <sheetViews>
    <sheetView workbookViewId="0">
      <selection activeCell="A1" sqref="A1"/>
    </sheetView>
  </sheetViews>
  <sheetFormatPr baseColWidth="8" defaultRowHeight="15"/>
  <sheetData>
    <row r="1">
      <c r="Z1">
        <f>1111+2222</f>
        <v/>
      </c>
    </row>
    <row r="30">
      <c r="H30">
        <f t="array" ref="H30:J32">MUNIT(3)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INDEX(MUNIT(4),3,3)</f>
        <v/>
      </c>
      <c r="Z1">
        <f>1111+2222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INDEX(MUNIT(4),3,2)</f>
        <v/>
      </c>
      <c r="Z1">
        <f>1111+2222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INDEX(MMULT(A2:B3,MUNIT(2)),2,1)</f>
        <v/>
      </c>
      <c r="Z1">
        <f>1111+2222</f>
        <v/>
      </c>
    </row>
    <row r="2">
      <c r="A2" t="n">
        <v>1</v>
      </c>
      <c r="B2" t="n">
        <v>3</v>
      </c>
    </row>
    <row r="3">
      <c r="A3" t="n">
        <v>7</v>
      </c>
      <c r="B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MUNIT(0)</f>
        <v/>
      </c>
      <c r="Z1">
        <f>1111+2222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MUNIT(-1)</f>
        <v/>
      </c>
      <c r="Z1">
        <f>1111+2222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ROUND(NEGBINOM.DIST(A2,A3,A4,TRUE),7)</f>
        <v/>
      </c>
      <c r="Z1">
        <f>1111+2222</f>
        <v/>
      </c>
    </row>
    <row r="2">
      <c r="A2" t="n">
        <v>10</v>
      </c>
    </row>
    <row r="3">
      <c r="A3" t="n">
        <v>5</v>
      </c>
    </row>
    <row r="4">
      <c r="A4" t="n">
        <v>0.25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ROUND(NEGBINOM.DIST(A2,A3,A4,FALSE),7)</f>
        <v/>
      </c>
      <c r="Z1">
        <f>1111+2222</f>
        <v/>
      </c>
    </row>
    <row r="2">
      <c r="A2" t="n">
        <v>10</v>
      </c>
    </row>
    <row r="3">
      <c r="A3" t="n">
        <v>5</v>
      </c>
    </row>
    <row r="4">
      <c r="A4" t="n">
        <v>0.25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ROUND(NEGBINOM.DIST(A2,A3,A4,FALSE),12)</f>
        <v/>
      </c>
      <c r="Z1">
        <f>1111+2222</f>
        <v/>
      </c>
    </row>
    <row r="2">
      <c r="A2" t="n">
        <v>10</v>
      </c>
    </row>
    <row r="3">
      <c r="A3" t="n">
        <v>5</v>
      </c>
    </row>
    <row r="4">
      <c r="A4" t="n">
        <v>0.25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ROUND(NEGBINOM.DIST(0,5,0.25,FALSE),10)</f>
        <v/>
      </c>
      <c r="Z1">
        <f>1111+2222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NEGBINOM.DIST(A2,A3,1.5,TRUE)</f>
        <v/>
      </c>
      <c r="Z1">
        <f>1111+2222</f>
        <v/>
      </c>
    </row>
    <row r="2">
      <c r="A2" t="n">
        <v>10</v>
      </c>
    </row>
    <row r="3">
      <c r="A3" t="n">
        <v>5</v>
      </c>
    </row>
    <row r="4">
      <c r="A4" t="n">
        <v>0.25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NEGBINOM.DIST(A2,0,A4,TRUE)</f>
        <v/>
      </c>
      <c r="Z1">
        <f>1111+2222</f>
        <v/>
      </c>
    </row>
    <row r="2">
      <c r="A2" t="n">
        <v>10</v>
      </c>
    </row>
    <row r="3">
      <c r="A3" t="n">
        <v>5</v>
      </c>
    </row>
    <row r="4">
      <c r="A4" t="n">
        <v>0.25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NEGBINOM.DIST("x",A3,A4,TRUE)</f>
        <v/>
      </c>
      <c r="Z1">
        <f>1111+2222</f>
        <v/>
      </c>
    </row>
    <row r="2">
      <c r="A2" t="n">
        <v>10</v>
      </c>
    </row>
    <row r="3">
      <c r="A3" t="n">
        <v>5</v>
      </c>
    </row>
    <row r="4">
      <c r="A4" t="n">
        <v>0.25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ROUND(NEGBINOMDIST(A2,A3,A4),8)</f>
        <v/>
      </c>
      <c r="Z1">
        <f>1111+2222</f>
        <v/>
      </c>
    </row>
    <row r="2">
      <c r="A2" t="n">
        <v>10</v>
      </c>
    </row>
    <row r="3">
      <c r="A3" t="n">
        <v>5</v>
      </c>
    </row>
    <row r="4">
      <c r="A4" t="n">
        <v>0.25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ROUND(NEGBINOMDIST(10,5,0.25)-NEGBINOM.DIST(10,5,0.25,FALSE),12)</f>
        <v/>
      </c>
      <c r="Z1">
        <f>1111+2222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NEGBINOMDIST(A2,A3,1.5)</f>
        <v/>
      </c>
      <c r="Z1">
        <f>1111+2222</f>
        <v/>
      </c>
    </row>
    <row r="2">
      <c r="A2" t="n">
        <v>10</v>
      </c>
    </row>
    <row r="3">
      <c r="A3" t="n">
        <v>5</v>
      </c>
    </row>
    <row r="4">
      <c r="A4" t="n">
        <v>0.25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NEGBINOMDIST(-1,A3,A4)</f>
        <v/>
      </c>
      <c r="Z1">
        <f>1111+2222</f>
        <v/>
      </c>
    </row>
    <row r="2">
      <c r="A2" t="n">
        <v>10</v>
      </c>
    </row>
    <row r="3">
      <c r="A3" t="n">
        <v>5</v>
      </c>
    </row>
    <row r="4">
      <c r="A4" t="n">
        <v>0.25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NEGBINOMDIST("x",A3,A4)</f>
        <v/>
      </c>
      <c r="Z1">
        <f>1111+2222</f>
        <v/>
      </c>
    </row>
    <row r="2">
      <c r="A2" t="n">
        <v>10</v>
      </c>
    </row>
    <row r="3">
      <c r="A3" t="n">
        <v>5</v>
      </c>
    </row>
    <row r="4">
      <c r="A4" t="n">
        <v>0.25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ROUND(NORMDIST(A2,A3,A4,TRUE),7)</f>
        <v/>
      </c>
      <c r="Z1">
        <f>1111+2222</f>
        <v/>
      </c>
    </row>
    <row r="2">
      <c r="A2" t="n">
        <v>42</v>
      </c>
    </row>
    <row r="3">
      <c r="A3" t="n">
        <v>40</v>
      </c>
    </row>
    <row r="4">
      <c r="A4" t="n">
        <v>1.5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ROUND(NORMDIST(A2,A3,A4,FALSE),5)</f>
        <v/>
      </c>
      <c r="Z1">
        <f>1111+2222</f>
        <v/>
      </c>
    </row>
    <row r="2">
      <c r="A2" t="n">
        <v>42</v>
      </c>
    </row>
    <row r="3">
      <c r="A3" t="n">
        <v>40</v>
      </c>
    </row>
    <row r="4">
      <c r="A4" t="n">
        <v>1.5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ROUND(NORMDIST(A2,A3,A4,TRUE),12)</f>
        <v/>
      </c>
      <c r="Z1">
        <f>1111+2222</f>
        <v/>
      </c>
    </row>
    <row r="2">
      <c r="A2" t="n">
        <v>42</v>
      </c>
    </row>
    <row r="3">
      <c r="A3" t="n">
        <v>40</v>
      </c>
    </row>
    <row r="4">
      <c r="A4" t="n">
        <v>1.5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ROUND(NORMDIST(1.333333,0,1,TRUE)-NORMSDIST(1.333333),12)</f>
        <v/>
      </c>
      <c r="Z1">
        <f>1111+2222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NORMDIST(A2,A3,0,TRUE)</f>
        <v/>
      </c>
      <c r="Z1">
        <f>1111+2222</f>
        <v/>
      </c>
    </row>
    <row r="2">
      <c r="A2" t="n">
        <v>42</v>
      </c>
    </row>
    <row r="3">
      <c r="A3" t="n">
        <v>40</v>
      </c>
    </row>
    <row r="4">
      <c r="A4" t="n">
        <v>1.5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NORMDIST(A2,"x",A4,TRUE)</f>
        <v/>
      </c>
      <c r="Z1">
        <f>1111+2222</f>
        <v/>
      </c>
    </row>
    <row r="2">
      <c r="A2" t="n">
        <v>42</v>
      </c>
    </row>
    <row r="3">
      <c r="A3" t="n">
        <v>40</v>
      </c>
    </row>
    <row r="4">
      <c r="A4" t="n">
        <v>1.5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ROUND(NORMINV(A2,A3,A4),6)</f>
        <v/>
      </c>
      <c r="Z1">
        <f>1111+2222</f>
        <v/>
      </c>
    </row>
    <row r="2">
      <c r="A2" t="n">
        <v>0.908789</v>
      </c>
    </row>
    <row r="3">
      <c r="A3" t="n">
        <v>40</v>
      </c>
    </row>
    <row r="4">
      <c r="A4" t="n">
        <v>1.5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ROUND(NORMINV(A2,A3,A4),10)</f>
        <v/>
      </c>
      <c r="Z1">
        <f>1111+2222</f>
        <v/>
      </c>
    </row>
    <row r="2">
      <c r="A2" t="n">
        <v>0.908789</v>
      </c>
    </row>
    <row r="3">
      <c r="A3" t="n">
        <v>40</v>
      </c>
    </row>
    <row r="4">
      <c r="A4" t="n">
        <v>1.5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ROUND(NORMINV(NORMDIST(43,40,1.5,TRUE),40,1.5),6)</f>
        <v/>
      </c>
      <c r="Z1">
        <f>1111+2222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NORMINV(0,A3,A4)</f>
        <v/>
      </c>
      <c r="Z1">
        <f>1111+2222</f>
        <v/>
      </c>
    </row>
    <row r="2">
      <c r="A2" t="n">
        <v>0.908789</v>
      </c>
    </row>
    <row r="3">
      <c r="A3" t="n">
        <v>40</v>
      </c>
    </row>
    <row r="4">
      <c r="A4" t="n">
        <v>1.5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NORMINV(1,A3,A4)</f>
        <v/>
      </c>
      <c r="Z1">
        <f>1111+2222</f>
        <v/>
      </c>
    </row>
    <row r="2">
      <c r="A2" t="n">
        <v>0.908789</v>
      </c>
    </row>
    <row r="3">
      <c r="A3" t="n">
        <v>40</v>
      </c>
    </row>
    <row r="4">
      <c r="A4" t="n">
        <v>1.5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NORMINV(A2,A3,0)</f>
        <v/>
      </c>
      <c r="Z1">
        <f>1111+2222</f>
        <v/>
      </c>
    </row>
    <row r="2">
      <c r="A2" t="n">
        <v>0.908789</v>
      </c>
    </row>
    <row r="3">
      <c r="A3" t="n">
        <v>40</v>
      </c>
    </row>
    <row r="4">
      <c r="A4" t="n">
        <v>1.5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NORMINV("x",A3,A4)</f>
        <v/>
      </c>
      <c r="Z1">
        <f>1111+2222</f>
        <v/>
      </c>
    </row>
    <row r="2">
      <c r="A2" t="n">
        <v>0.908789</v>
      </c>
    </row>
    <row r="3">
      <c r="A3" t="n">
        <v>40</v>
      </c>
    </row>
    <row r="4">
      <c r="A4" t="n">
        <v>1.5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ROUND(NORMSDIST(1.333333),9)</f>
        <v/>
      </c>
      <c r="Z1">
        <f>1111+2222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ROUND(NORMSDIST(1.333333),12)</f>
        <v/>
      </c>
      <c r="Z1">
        <f>1111+2222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ROUND(NORMSDIST(0),10)</f>
        <v/>
      </c>
      <c r="Z1">
        <f>1111+2222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ROUND(NORMSDIST(-1)+NORMSDIST(1),10)</f>
        <v/>
      </c>
      <c r="Z1">
        <f>1111+2222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NORMSDIST("x")</f>
        <v/>
      </c>
      <c r="Z1">
        <f>1111+2222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ROUND(NORMSINV(0.9088),4)</f>
        <v/>
      </c>
      <c r="Z1">
        <f>1111+2222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ROUND(NORMSINV(0.9088),8)</f>
        <v/>
      </c>
      <c r="Z1">
        <f>1111+2222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ROUND(NORMSINV(0.5),10)</f>
        <v/>
      </c>
      <c r="Z1">
        <f>1111+2222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ROUND(NORMSINV(NORMSDIST(1.5)),6)</f>
        <v/>
      </c>
      <c r="Z1">
        <f>1111+2222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NORMSINV(0)</f>
        <v/>
      </c>
      <c r="Z1">
        <f>1111+2222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NORMSINV(1)</f>
        <v/>
      </c>
      <c r="Z1">
        <f>1111+2222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NORMSINV("x")</f>
        <v/>
      </c>
      <c r="Z1">
        <f>1111+2222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ROUND(ODDFPRICE(A2,A3,A4,A5,A6,A7,A8,A9,A10),2)</f>
        <v/>
      </c>
      <c r="Z1">
        <f>1111+2222</f>
        <v/>
      </c>
    </row>
    <row r="2">
      <c r="A2" t="n">
        <v>39763</v>
      </c>
    </row>
    <row r="3">
      <c r="A3" t="n">
        <v>44256</v>
      </c>
    </row>
    <row r="4">
      <c r="A4" t="n">
        <v>39736</v>
      </c>
    </row>
    <row r="5">
      <c r="A5" t="n">
        <v>39873</v>
      </c>
    </row>
    <row r="6">
      <c r="A6" t="n">
        <v>0.0785</v>
      </c>
    </row>
    <row r="7">
      <c r="A7" t="n">
        <v>0.0625</v>
      </c>
    </row>
    <row r="8">
      <c r="A8" t="n">
        <v>100</v>
      </c>
    </row>
    <row r="9">
      <c r="A9" t="n">
        <v>2</v>
      </c>
    </row>
    <row r="10">
      <c r="A10" t="n">
        <v>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ROUND(ODDFPRICE(A2,A3,A4,A5,A6,A7,A8,A9,A10),8)</f>
        <v/>
      </c>
      <c r="Z1">
        <f>1111+2222</f>
        <v/>
      </c>
    </row>
    <row r="2">
      <c r="A2" t="n">
        <v>39763</v>
      </c>
    </row>
    <row r="3">
      <c r="A3" t="n">
        <v>44256</v>
      </c>
    </row>
    <row r="4">
      <c r="A4" t="n">
        <v>39736</v>
      </c>
    </row>
    <row r="5">
      <c r="A5" t="n">
        <v>39873</v>
      </c>
    </row>
    <row r="6">
      <c r="A6" t="n">
        <v>0.0785</v>
      </c>
    </row>
    <row r="7">
      <c r="A7" t="n">
        <v>0.0625</v>
      </c>
    </row>
    <row r="8">
      <c r="A8" t="n">
        <v>100</v>
      </c>
    </row>
    <row r="9">
      <c r="A9" t="n">
        <v>2</v>
      </c>
    </row>
    <row r="10">
      <c r="A10" t="n">
        <v>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ROUND(ODDFPRICE(A2,A3,A4,A5,A6,A7,A8,A9,0),8)</f>
        <v/>
      </c>
      <c r="Z1">
        <f>1111+2222</f>
        <v/>
      </c>
    </row>
    <row r="2">
      <c r="A2" t="n">
        <v>39763</v>
      </c>
    </row>
    <row r="3">
      <c r="A3" t="n">
        <v>44256</v>
      </c>
    </row>
    <row r="4">
      <c r="A4" t="n">
        <v>39736</v>
      </c>
    </row>
    <row r="5">
      <c r="A5" t="n">
        <v>39873</v>
      </c>
    </row>
    <row r="6">
      <c r="A6" t="n">
        <v>0.0785</v>
      </c>
    </row>
    <row r="7">
      <c r="A7" t="n">
        <v>0.0625</v>
      </c>
    </row>
    <row r="8">
      <c r="A8" t="n">
        <v>100</v>
      </c>
    </row>
    <row r="9">
      <c r="A9" t="n">
        <v>2</v>
      </c>
    </row>
    <row r="10">
      <c r="A10" t="n">
        <v>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ODDFPRICE(A2,A3,A4,A5,-0.0785,A7,A8,A9,A10)</f>
        <v/>
      </c>
      <c r="Z1">
        <f>1111+2222</f>
        <v/>
      </c>
    </row>
    <row r="2">
      <c r="A2" t="n">
        <v>39763</v>
      </c>
    </row>
    <row r="3">
      <c r="A3" t="n">
        <v>44256</v>
      </c>
    </row>
    <row r="4">
      <c r="A4" t="n">
        <v>39736</v>
      </c>
    </row>
    <row r="5">
      <c r="A5" t="n">
        <v>39873</v>
      </c>
    </row>
    <row r="6">
      <c r="A6" t="n">
        <v>0.0785</v>
      </c>
    </row>
    <row r="7">
      <c r="A7" t="n">
        <v>0.0625</v>
      </c>
    </row>
    <row r="8">
      <c r="A8" t="n">
        <v>100</v>
      </c>
    </row>
    <row r="9">
      <c r="A9" t="n">
        <v>2</v>
      </c>
    </row>
    <row r="10">
      <c r="A10" t="n">
        <v>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ODDFPRICE(A2,A3,A4,A5,A6,A7,A8,A9,5)</f>
        <v/>
      </c>
      <c r="Z1">
        <f>1111+2222</f>
        <v/>
      </c>
    </row>
    <row r="2">
      <c r="A2" t="n">
        <v>39763</v>
      </c>
    </row>
    <row r="3">
      <c r="A3" t="n">
        <v>44256</v>
      </c>
    </row>
    <row r="4">
      <c r="A4" t="n">
        <v>39736</v>
      </c>
    </row>
    <row r="5">
      <c r="A5" t="n">
        <v>39873</v>
      </c>
    </row>
    <row r="6">
      <c r="A6" t="n">
        <v>0.0785</v>
      </c>
    </row>
    <row r="7">
      <c r="A7" t="n">
        <v>0.0625</v>
      </c>
    </row>
    <row r="8">
      <c r="A8" t="n">
        <v>100</v>
      </c>
    </row>
    <row r="9">
      <c r="A9" t="n">
        <v>2</v>
      </c>
    </row>
    <row r="10">
      <c r="A10" t="n">
        <v>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ODDFPRICE(A5,A3,A4,A2,A6,A7,A8,A9,A10)</f>
        <v/>
      </c>
      <c r="Z1">
        <f>1111+2222</f>
        <v/>
      </c>
    </row>
    <row r="2">
      <c r="A2" t="n">
        <v>39763</v>
      </c>
    </row>
    <row r="3">
      <c r="A3" t="n">
        <v>44256</v>
      </c>
    </row>
    <row r="4">
      <c r="A4" t="n">
        <v>39736</v>
      </c>
    </row>
    <row r="5">
      <c r="A5" t="n">
        <v>39873</v>
      </c>
    </row>
    <row r="6">
      <c r="A6" t="n">
        <v>0.0785</v>
      </c>
    </row>
    <row r="7">
      <c r="A7" t="n">
        <v>0.0625</v>
      </c>
    </row>
    <row r="8">
      <c r="A8" t="n">
        <v>100</v>
      </c>
    </row>
    <row r="9">
      <c r="A9" t="n">
        <v>2</v>
      </c>
    </row>
    <row r="10">
      <c r="A10" t="n">
        <v>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ODDFPRICE("not a date",A3,A4,A5,A6,A7,A8,A9,A10)</f>
        <v/>
      </c>
      <c r="Z1">
        <f>1111+2222</f>
        <v/>
      </c>
    </row>
    <row r="2">
      <c r="A2" t="n">
        <v>39763</v>
      </c>
    </row>
    <row r="3">
      <c r="A3" t="n">
        <v>44256</v>
      </c>
    </row>
    <row r="4">
      <c r="A4" t="n">
        <v>39736</v>
      </c>
    </row>
    <row r="5">
      <c r="A5" t="n">
        <v>39873</v>
      </c>
    </row>
    <row r="6">
      <c r="A6" t="n">
        <v>0.0785</v>
      </c>
    </row>
    <row r="7">
      <c r="A7" t="n">
        <v>0.0625</v>
      </c>
    </row>
    <row r="8">
      <c r="A8" t="n">
        <v>100</v>
      </c>
    </row>
    <row r="9">
      <c r="A9" t="n">
        <v>2</v>
      </c>
    </row>
    <row r="10">
      <c r="A10" t="n">
        <v>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ROUND(ODDFYIELD(A2,A3,A4,A5,A6,A7,A8,A9,A10),4)</f>
        <v/>
      </c>
      <c r="Z1">
        <f>1111+2222</f>
        <v/>
      </c>
    </row>
    <row r="2">
      <c r="A2" t="n">
        <v>39763</v>
      </c>
    </row>
    <row r="3">
      <c r="A3" t="n">
        <v>44256</v>
      </c>
    </row>
    <row r="4">
      <c r="A4" t="n">
        <v>39736</v>
      </c>
    </row>
    <row r="5">
      <c r="A5" t="n">
        <v>39873</v>
      </c>
    </row>
    <row r="6">
      <c r="A6" t="n">
        <v>0.0575</v>
      </c>
    </row>
    <row r="7">
      <c r="A7" t="n">
        <v>84.5</v>
      </c>
    </row>
    <row r="8">
      <c r="A8" t="n">
        <v>100</v>
      </c>
    </row>
    <row r="9">
      <c r="A9" t="n">
        <v>2</v>
      </c>
    </row>
    <row r="10">
      <c r="A10" t="n">
        <v>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ROUND(ODDFYIELD(A2,A3,A4,A5,A6,A7,A8,A9,A10),8)</f>
        <v/>
      </c>
      <c r="Z1">
        <f>1111+2222</f>
        <v/>
      </c>
    </row>
    <row r="2">
      <c r="A2" t="n">
        <v>39763</v>
      </c>
    </row>
    <row r="3">
      <c r="A3" t="n">
        <v>44256</v>
      </c>
    </row>
    <row r="4">
      <c r="A4" t="n">
        <v>39736</v>
      </c>
    </row>
    <row r="5">
      <c r="A5" t="n">
        <v>39873</v>
      </c>
    </row>
    <row r="6">
      <c r="A6" t="n">
        <v>0.0575</v>
      </c>
    </row>
    <row r="7">
      <c r="A7" t="n">
        <v>84.5</v>
      </c>
    </row>
    <row r="8">
      <c r="A8" t="n">
        <v>100</v>
      </c>
    </row>
    <row r="9">
      <c r="A9" t="n">
        <v>2</v>
      </c>
    </row>
    <row r="10">
      <c r="A10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ROUND(ODDFYIELD(A2,A3,A4,A5,0.0785,ODDFPRICE(A2,A3,A4,A5,0.0785,0.0625,100,2,1),100,2,1),8)</f>
        <v/>
      </c>
      <c r="Z1">
        <f>1111+2222</f>
        <v/>
      </c>
    </row>
    <row r="2">
      <c r="A2" t="n">
        <v>39763</v>
      </c>
    </row>
    <row r="3">
      <c r="A3" t="n">
        <v>44256</v>
      </c>
    </row>
    <row r="4">
      <c r="A4" t="n">
        <v>39736</v>
      </c>
    </row>
    <row r="5">
      <c r="A5" t="n">
        <v>39873</v>
      </c>
    </row>
    <row r="6">
      <c r="A6" t="n">
        <v>0.0575</v>
      </c>
    </row>
    <row r="7">
      <c r="A7" t="n">
        <v>84.5</v>
      </c>
    </row>
    <row r="8">
      <c r="A8" t="n">
        <v>100</v>
      </c>
    </row>
    <row r="9">
      <c r="A9" t="n">
        <v>2</v>
      </c>
    </row>
    <row r="10">
      <c r="A10" t="n">
        <v>0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ODDFYIELD(A2,A3,A4,A5,A6,0,A8,A9,A10)</f>
        <v/>
      </c>
      <c r="Z1">
        <f>1111+2222</f>
        <v/>
      </c>
    </row>
    <row r="2">
      <c r="A2" t="n">
        <v>39763</v>
      </c>
    </row>
    <row r="3">
      <c r="A3" t="n">
        <v>44256</v>
      </c>
    </row>
    <row r="4">
      <c r="A4" t="n">
        <v>39736</v>
      </c>
    </row>
    <row r="5">
      <c r="A5" t="n">
        <v>39873</v>
      </c>
    </row>
    <row r="6">
      <c r="A6" t="n">
        <v>0.0575</v>
      </c>
    </row>
    <row r="7">
      <c r="A7" t="n">
        <v>84.5</v>
      </c>
    </row>
    <row r="8">
      <c r="A8" t="n">
        <v>100</v>
      </c>
    </row>
    <row r="9">
      <c r="A9" t="n">
        <v>2</v>
      </c>
    </row>
    <row r="10">
      <c r="A10" t="n">
        <v>0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ODDFYIELD(A2,A3,A4,A5,A6,A7,A8,A9,5)</f>
        <v/>
      </c>
      <c r="Z1">
        <f>1111+2222</f>
        <v/>
      </c>
    </row>
    <row r="2">
      <c r="A2" t="n">
        <v>39763</v>
      </c>
    </row>
    <row r="3">
      <c r="A3" t="n">
        <v>44256</v>
      </c>
    </row>
    <row r="4">
      <c r="A4" t="n">
        <v>39736</v>
      </c>
    </row>
    <row r="5">
      <c r="A5" t="n">
        <v>39873</v>
      </c>
    </row>
    <row r="6">
      <c r="A6" t="n">
        <v>0.0575</v>
      </c>
    </row>
    <row r="7">
      <c r="A7" t="n">
        <v>84.5</v>
      </c>
    </row>
    <row r="8">
      <c r="A8" t="n">
        <v>100</v>
      </c>
    </row>
    <row r="9">
      <c r="A9" t="n">
        <v>2</v>
      </c>
    </row>
    <row r="10">
      <c r="A10" t="n">
        <v>0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ODDFYIELD(A5,A3,A4,A2,A6,A7,A8,A9,A10)</f>
        <v/>
      </c>
      <c r="Z1">
        <f>1111+2222</f>
        <v/>
      </c>
    </row>
    <row r="2">
      <c r="A2" t="n">
        <v>39763</v>
      </c>
    </row>
    <row r="3">
      <c r="A3" t="n">
        <v>44256</v>
      </c>
    </row>
    <row r="4">
      <c r="A4" t="n">
        <v>39736</v>
      </c>
    </row>
    <row r="5">
      <c r="A5" t="n">
        <v>39873</v>
      </c>
    </row>
    <row r="6">
      <c r="A6" t="n">
        <v>0.0575</v>
      </c>
    </row>
    <row r="7">
      <c r="A7" t="n">
        <v>84.5</v>
      </c>
    </row>
    <row r="8">
      <c r="A8" t="n">
        <v>100</v>
      </c>
    </row>
    <row r="9">
      <c r="A9" t="n">
        <v>2</v>
      </c>
    </row>
    <row r="10">
      <c r="A10" t="n">
        <v>0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ROUND(ODDLPRICE(A2,A3,A4,A5,A6,A7,A8,A9),2)</f>
        <v/>
      </c>
      <c r="Z1">
        <f>1111+2222</f>
        <v/>
      </c>
    </row>
    <row r="2">
      <c r="A2" t="n">
        <v>39485</v>
      </c>
    </row>
    <row r="3">
      <c r="A3" t="n">
        <v>39614</v>
      </c>
    </row>
    <row r="4">
      <c r="A4" t="n">
        <v>39370</v>
      </c>
    </row>
    <row r="5">
      <c r="A5" t="n">
        <v>0.0375</v>
      </c>
    </row>
    <row r="6">
      <c r="A6" t="n">
        <v>0.0405</v>
      </c>
    </row>
    <row r="7">
      <c r="A7" t="n">
        <v>100</v>
      </c>
    </row>
    <row r="8">
      <c r="A8" t="n">
        <v>2</v>
      </c>
    </row>
    <row r="9">
      <c r="A9" t="n">
        <v>0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ROUND(ODDLPRICE(A2,A3,A4,A5,A6,A7,A8,A9),10)</f>
        <v/>
      </c>
      <c r="Z1">
        <f>1111+2222</f>
        <v/>
      </c>
    </row>
    <row r="2">
      <c r="A2" t="n">
        <v>39485</v>
      </c>
    </row>
    <row r="3">
      <c r="A3" t="n">
        <v>39614</v>
      </c>
    </row>
    <row r="4">
      <c r="A4" t="n">
        <v>39370</v>
      </c>
    </row>
    <row r="5">
      <c r="A5" t="n">
        <v>0.0375</v>
      </c>
    </row>
    <row r="6">
      <c r="A6" t="n">
        <v>0.0405</v>
      </c>
    </row>
    <row r="7">
      <c r="A7" t="n">
        <v>100</v>
      </c>
    </row>
    <row r="8">
      <c r="A8" t="n">
        <v>2</v>
      </c>
    </row>
    <row r="9">
      <c r="A9" t="n">
        <v>0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ROUND(ODDLPRICE(A2,A3,A4,A5,A6,A7,A8,A9),5)</f>
        <v/>
      </c>
      <c r="Z1">
        <f>1111+2222</f>
        <v/>
      </c>
    </row>
    <row r="2">
      <c r="A2" t="n">
        <v>36198</v>
      </c>
    </row>
    <row r="3">
      <c r="A3" t="n">
        <v>36326</v>
      </c>
    </row>
    <row r="4">
      <c r="A4" t="n">
        <v>36083</v>
      </c>
    </row>
    <row r="5">
      <c r="A5" t="n">
        <v>0.0375</v>
      </c>
    </row>
    <row r="6">
      <c r="A6" t="n">
        <v>0.0405</v>
      </c>
    </row>
    <row r="7">
      <c r="A7" t="n">
        <v>100</v>
      </c>
    </row>
    <row r="8">
      <c r="A8" t="n">
        <v>2</v>
      </c>
    </row>
    <row r="9">
      <c r="A9" t="n">
        <v>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ODDLPRICE(A2,A3,A4,A5,-0.0405,A7,A8,A9)</f>
        <v/>
      </c>
      <c r="Z1">
        <f>1111+2222</f>
        <v/>
      </c>
    </row>
    <row r="2">
      <c r="A2" t="n">
        <v>39485</v>
      </c>
    </row>
    <row r="3">
      <c r="A3" t="n">
        <v>39614</v>
      </c>
    </row>
    <row r="4">
      <c r="A4" t="n">
        <v>39370</v>
      </c>
    </row>
    <row r="5">
      <c r="A5" t="n">
        <v>0.0375</v>
      </c>
    </row>
    <row r="6">
      <c r="A6" t="n">
        <v>0.0405</v>
      </c>
    </row>
    <row r="7">
      <c r="A7" t="n">
        <v>100</v>
      </c>
    </row>
    <row r="8">
      <c r="A8" t="n">
        <v>2</v>
      </c>
    </row>
    <row r="9">
      <c r="A9" t="n">
        <v>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ODDLPRICE(A2,A3,A4,A5,A6,A7,A8,5)</f>
        <v/>
      </c>
      <c r="Z1">
        <f>1111+2222</f>
        <v/>
      </c>
    </row>
    <row r="2">
      <c r="A2" t="n">
        <v>39485</v>
      </c>
    </row>
    <row r="3">
      <c r="A3" t="n">
        <v>39614</v>
      </c>
    </row>
    <row r="4">
      <c r="A4" t="n">
        <v>39370</v>
      </c>
    </row>
    <row r="5">
      <c r="A5" t="n">
        <v>0.0375</v>
      </c>
    </row>
    <row r="6">
      <c r="A6" t="n">
        <v>0.0405</v>
      </c>
    </row>
    <row r="7">
      <c r="A7" t="n">
        <v>100</v>
      </c>
    </row>
    <row r="8">
      <c r="A8" t="n">
        <v>2</v>
      </c>
    </row>
    <row r="9">
      <c r="A9" t="n">
        <v>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ODDLPRICE(A4,A3,A2,A5,A6,A7,A8,A9)</f>
        <v/>
      </c>
      <c r="Z1">
        <f>1111+2222</f>
        <v/>
      </c>
    </row>
    <row r="2">
      <c r="A2" t="n">
        <v>39485</v>
      </c>
    </row>
    <row r="3">
      <c r="A3" t="n">
        <v>39614</v>
      </c>
    </row>
    <row r="4">
      <c r="A4" t="n">
        <v>39370</v>
      </c>
    </row>
    <row r="5">
      <c r="A5" t="n">
        <v>0.0375</v>
      </c>
    </row>
    <row r="6">
      <c r="A6" t="n">
        <v>0.0405</v>
      </c>
    </row>
    <row r="7">
      <c r="A7" t="n">
        <v>100</v>
      </c>
    </row>
    <row r="8">
      <c r="A8" t="n">
        <v>2</v>
      </c>
    </row>
    <row r="9">
      <c r="A9" t="n">
        <v>0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ODDLPRICE("not a date",A3,A4,A5,A6,A7,A8,A9)</f>
        <v/>
      </c>
      <c r="Z1">
        <f>1111+2222</f>
        <v/>
      </c>
    </row>
    <row r="2">
      <c r="A2" t="n">
        <v>39485</v>
      </c>
    </row>
    <row r="3">
      <c r="A3" t="n">
        <v>39614</v>
      </c>
    </row>
    <row r="4">
      <c r="A4" t="n">
        <v>39370</v>
      </c>
    </row>
    <row r="5">
      <c r="A5" t="n">
        <v>0.0375</v>
      </c>
    </row>
    <row r="6">
      <c r="A6" t="n">
        <v>0.0405</v>
      </c>
    </row>
    <row r="7">
      <c r="A7" t="n">
        <v>100</v>
      </c>
    </row>
    <row r="8">
      <c r="A8" t="n">
        <v>2</v>
      </c>
    </row>
    <row r="9">
      <c r="A9" t="n">
        <v>0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ROUND(ODDLYIELD(A2,A3,A4,A5,A6,A7,A8,A9),5)</f>
        <v/>
      </c>
      <c r="Z1">
        <f>1111+2222</f>
        <v/>
      </c>
    </row>
    <row r="2">
      <c r="A2" t="n">
        <v>39558</v>
      </c>
    </row>
    <row r="3">
      <c r="A3" t="n">
        <v>39614</v>
      </c>
    </row>
    <row r="4">
      <c r="A4" t="n">
        <v>39440</v>
      </c>
    </row>
    <row r="5">
      <c r="A5" t="n">
        <v>0.0375</v>
      </c>
    </row>
    <row r="6">
      <c r="A6" t="n">
        <v>99.875</v>
      </c>
    </row>
    <row r="7">
      <c r="A7" t="n">
        <v>100</v>
      </c>
    </row>
    <row r="8">
      <c r="A8" t="n">
        <v>2</v>
      </c>
    </row>
    <row r="9">
      <c r="A9" t="n">
        <v>0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ROUND(ODDLYIELD(A2,A3,A4,A5,A6,A7,A8,A9),10)</f>
        <v/>
      </c>
      <c r="Z1">
        <f>1111+2222</f>
        <v/>
      </c>
    </row>
    <row r="2">
      <c r="A2" t="n">
        <v>39558</v>
      </c>
    </row>
    <row r="3">
      <c r="A3" t="n">
        <v>39614</v>
      </c>
    </row>
    <row r="4">
      <c r="A4" t="n">
        <v>39440</v>
      </c>
    </row>
    <row r="5">
      <c r="A5" t="n">
        <v>0.0375</v>
      </c>
    </row>
    <row r="6">
      <c r="A6" t="n">
        <v>99.875</v>
      </c>
    </row>
    <row r="7">
      <c r="A7" t="n">
        <v>100</v>
      </c>
    </row>
    <row r="8">
      <c r="A8" t="n">
        <v>2</v>
      </c>
    </row>
    <row r="9">
      <c r="A9" t="n">
        <v>0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ROUND(ODDLYIELD(A2,A3,A4,A5,A6,A7,A8,A9),6)</f>
        <v/>
      </c>
      <c r="Z1">
        <f>1111+2222</f>
        <v/>
      </c>
    </row>
    <row r="2">
      <c r="A2" t="n">
        <v>36270</v>
      </c>
    </row>
    <row r="3">
      <c r="A3" t="n">
        <v>36326</v>
      </c>
    </row>
    <row r="4">
      <c r="A4" t="n">
        <v>36083</v>
      </c>
    </row>
    <row r="5">
      <c r="A5" t="n">
        <v>0.0375</v>
      </c>
    </row>
    <row r="6">
      <c r="A6" t="n">
        <v>99.875</v>
      </c>
    </row>
    <row r="7">
      <c r="A7" t="n">
        <v>100</v>
      </c>
    </row>
    <row r="8">
      <c r="A8" t="n">
        <v>2</v>
      </c>
    </row>
    <row r="9">
      <c r="A9" t="n">
        <v>0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ROUND(ODDLYIELD(A2,A3,A4,A5,ODDLPRICE(A2,A3,A4,A5,0.0405,A7,A8,A9),A7,A8,A9),10)</f>
        <v/>
      </c>
      <c r="Z1">
        <f>1111+2222</f>
        <v/>
      </c>
    </row>
    <row r="2">
      <c r="A2" t="n">
        <v>39485</v>
      </c>
    </row>
    <row r="3">
      <c r="A3" t="n">
        <v>39614</v>
      </c>
    </row>
    <row r="4">
      <c r="A4" t="n">
        <v>39370</v>
      </c>
    </row>
    <row r="5">
      <c r="A5" t="n">
        <v>0.0375</v>
      </c>
    </row>
    <row r="6">
      <c r="A6" t="n">
        <v>99.875</v>
      </c>
    </row>
    <row r="7">
      <c r="A7" t="n">
        <v>100</v>
      </c>
    </row>
    <row r="8">
      <c r="A8" t="n">
        <v>2</v>
      </c>
    </row>
    <row r="9">
      <c r="A9" t="n">
        <v>0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ODDLYIELD(A2,A3,A4,A5,0,A7,A8,A9)</f>
        <v/>
      </c>
      <c r="Z1">
        <f>1111+2222</f>
        <v/>
      </c>
    </row>
    <row r="2">
      <c r="A2" t="n">
        <v>39558</v>
      </c>
    </row>
    <row r="3">
      <c r="A3" t="n">
        <v>39614</v>
      </c>
    </row>
    <row r="4">
      <c r="A4" t="n">
        <v>39440</v>
      </c>
    </row>
    <row r="5">
      <c r="A5" t="n">
        <v>0.0375</v>
      </c>
    </row>
    <row r="6">
      <c r="A6" t="n">
        <v>99.875</v>
      </c>
    </row>
    <row r="7">
      <c r="A7" t="n">
        <v>100</v>
      </c>
    </row>
    <row r="8">
      <c r="A8" t="n">
        <v>2</v>
      </c>
    </row>
    <row r="9">
      <c r="A9" t="n">
        <v>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ODDLYIELD(A2,A3,A4,A5,A6,A7,A8,5)</f>
        <v/>
      </c>
      <c r="Z1">
        <f>1111+2222</f>
        <v/>
      </c>
    </row>
    <row r="2">
      <c r="A2" t="n">
        <v>39558</v>
      </c>
    </row>
    <row r="3">
      <c r="A3" t="n">
        <v>39614</v>
      </c>
    </row>
    <row r="4">
      <c r="A4" t="n">
        <v>39440</v>
      </c>
    </row>
    <row r="5">
      <c r="A5" t="n">
        <v>0.0375</v>
      </c>
    </row>
    <row r="6">
      <c r="A6" t="n">
        <v>99.875</v>
      </c>
    </row>
    <row r="7">
      <c r="A7" t="n">
        <v>100</v>
      </c>
    </row>
    <row r="8">
      <c r="A8" t="n">
        <v>2</v>
      </c>
    </row>
    <row r="9">
      <c r="A9" t="n">
        <v>0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ODDLYIELD(A4,A3,A2,A5,A6,A7,A8,A9)</f>
        <v/>
      </c>
      <c r="Z1">
        <f>1111+2222</f>
        <v/>
      </c>
    </row>
    <row r="2">
      <c r="A2" t="n">
        <v>39558</v>
      </c>
    </row>
    <row r="3">
      <c r="A3" t="n">
        <v>39614</v>
      </c>
    </row>
    <row r="4">
      <c r="A4" t="n">
        <v>39440</v>
      </c>
    </row>
    <row r="5">
      <c r="A5" t="n">
        <v>0.0375</v>
      </c>
    </row>
    <row r="6">
      <c r="A6" t="n">
        <v>99.875</v>
      </c>
    </row>
    <row r="7">
      <c r="A7" t="n">
        <v>100</v>
      </c>
    </row>
    <row r="8">
      <c r="A8" t="n">
        <v>2</v>
      </c>
    </row>
    <row r="9">
      <c r="A9" t="n">
        <v>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ODDLYIELD("not a date",A3,A4,A5,A6,A7,A8,A9)</f>
        <v/>
      </c>
      <c r="Z1">
        <f>1111+2222</f>
        <v/>
      </c>
    </row>
    <row r="2">
      <c r="A2" t="n">
        <v>39558</v>
      </c>
    </row>
    <row r="3">
      <c r="A3" t="n">
        <v>39614</v>
      </c>
    </row>
    <row r="4">
      <c r="A4" t="n">
        <v>39440</v>
      </c>
    </row>
    <row r="5">
      <c r="A5" t="n">
        <v>0.0375</v>
      </c>
    </row>
    <row r="6">
      <c r="A6" t="n">
        <v>99.875</v>
      </c>
    </row>
    <row r="7">
      <c r="A7" t="n">
        <v>100</v>
      </c>
    </row>
    <row r="8">
      <c r="A8" t="n">
        <v>2</v>
      </c>
    </row>
    <row r="9">
      <c r="A9" t="n">
        <v>0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ROUND(PERCENTOF(A2:A3,A2:A5),12)</f>
        <v/>
      </c>
      <c r="Z1">
        <f>1111+2222</f>
        <v/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ROUND(PERCENTOF(A2:A3,A2:A5)-SUM(A2:A3)/SUM(A2:A5),12)</f>
        <v/>
      </c>
      <c r="Z1">
        <f>1111+2222</f>
        <v/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ROUND(PERCENTOF(A2:A5,A2:A5),12)</f>
        <v/>
      </c>
      <c r="Z1">
        <f>1111+2222</f>
        <v/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F1">
        <f>ROUND(PERCENTOF(A2,A2:A5),12)</f>
        <v/>
      </c>
      <c r="Z1">
        <f>1111+2222</f>
        <v/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PERCENTRANK.EXC(A2:A10,7)</f>
        <v/>
      </c>
      <c r="Z1">
        <f>1111+2222</f>
        <v/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6</v>
      </c>
    </row>
    <row r="6">
      <c r="A6" t="n">
        <v>6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PERCENTRANK.EXC(A2:A10,5.43)</f>
        <v/>
      </c>
      <c r="Z1">
        <f>1111+2222</f>
        <v/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6</v>
      </c>
    </row>
    <row r="6">
      <c r="A6" t="n">
        <v>6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PERCENTRANK.EXC(A2:A10,5.43,1)</f>
        <v/>
      </c>
      <c r="Z1">
        <f>1111+2222</f>
        <v/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6</v>
      </c>
    </row>
    <row r="6">
      <c r="A6" t="n">
        <v>6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PERCENTRANK.EXC(A2:A10,1)</f>
        <v/>
      </c>
      <c r="Z1">
        <f>1111+2222</f>
        <v/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6</v>
      </c>
    </row>
    <row r="6">
      <c r="A6" t="n">
        <v>6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PERCENTRANK.EXC(A2:A10,7,0)</f>
        <v/>
      </c>
      <c r="Z1">
        <f>1111+2222</f>
        <v/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6</v>
      </c>
    </row>
    <row r="6">
      <c r="A6" t="n">
        <v>6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F1">
        <f>PERCENTRANK.EXC(D20:D25,7)</f>
        <v/>
      </c>
      <c r="Z1">
        <f>1111+2222</f>
        <v/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6</v>
      </c>
    </row>
    <row r="6">
      <c r="A6" t="n">
        <v>6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F1">
        <f>PERCENTRANK.INC(A2:A11,2)</f>
        <v/>
      </c>
      <c r="Z1">
        <f>1111+2222</f>
        <v/>
      </c>
    </row>
    <row r="2">
      <c r="A2" t="n">
        <v>13</v>
      </c>
    </row>
    <row r="3">
      <c r="A3" t="n">
        <v>12</v>
      </c>
    </row>
    <row r="4">
      <c r="A4" t="n">
        <v>11</v>
      </c>
    </row>
    <row r="5">
      <c r="A5" t="n">
        <v>8</v>
      </c>
    </row>
    <row r="6">
      <c r="A6" t="n">
        <v>4</v>
      </c>
    </row>
    <row r="7">
      <c r="A7" t="n">
        <v>3</v>
      </c>
    </row>
    <row r="8">
      <c r="A8" t="n">
        <v>2</v>
      </c>
    </row>
    <row r="9">
      <c r="A9" t="n">
        <v>1</v>
      </c>
    </row>
    <row r="10">
      <c r="A10" t="n">
        <v>1</v>
      </c>
    </row>
    <row r="11">
      <c r="A11" t="n">
        <v>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F1">
        <f>PERCENTRANK.INC(A2:A11,4)</f>
        <v/>
      </c>
      <c r="Z1">
        <f>1111+2222</f>
        <v/>
      </c>
    </row>
    <row r="2">
      <c r="A2" t="n">
        <v>13</v>
      </c>
    </row>
    <row r="3">
      <c r="A3" t="n">
        <v>12</v>
      </c>
    </row>
    <row r="4">
      <c r="A4" t="n">
        <v>11</v>
      </c>
    </row>
    <row r="5">
      <c r="A5" t="n">
        <v>8</v>
      </c>
    </row>
    <row r="6">
      <c r="A6" t="n">
        <v>4</v>
      </c>
    </row>
    <row r="7">
      <c r="A7" t="n">
        <v>3</v>
      </c>
    </row>
    <row r="8">
      <c r="A8" t="n">
        <v>2</v>
      </c>
    </row>
    <row r="9">
      <c r="A9" t="n">
        <v>1</v>
      </c>
    </row>
    <row r="10">
      <c r="A10" t="n">
        <v>1</v>
      </c>
    </row>
    <row r="11">
      <c r="A11" t="n">
        <v>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F1">
        <f>PERCENTRANK.INC(A2:A11,8)</f>
        <v/>
      </c>
      <c r="Z1">
        <f>1111+2222</f>
        <v/>
      </c>
    </row>
    <row r="2">
      <c r="A2" t="n">
        <v>13</v>
      </c>
    </row>
    <row r="3">
      <c r="A3" t="n">
        <v>12</v>
      </c>
    </row>
    <row r="4">
      <c r="A4" t="n">
        <v>11</v>
      </c>
    </row>
    <row r="5">
      <c r="A5" t="n">
        <v>8</v>
      </c>
    </row>
    <row r="6">
      <c r="A6" t="n">
        <v>4</v>
      </c>
    </row>
    <row r="7">
      <c r="A7" t="n">
        <v>3</v>
      </c>
    </row>
    <row r="8">
      <c r="A8" t="n">
        <v>2</v>
      </c>
    </row>
    <row r="9">
      <c r="A9" t="n">
        <v>1</v>
      </c>
    </row>
    <row r="10">
      <c r="A10" t="n">
        <v>1</v>
      </c>
    </row>
    <row r="11">
      <c r="A11" t="n">
        <v>1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F1">
        <f>PERCENTRANK.INC(A2:A11,5)</f>
        <v/>
      </c>
      <c r="Z1">
        <f>1111+2222</f>
        <v/>
      </c>
    </row>
    <row r="2">
      <c r="A2" t="n">
        <v>13</v>
      </c>
    </row>
    <row r="3">
      <c r="A3" t="n">
        <v>12</v>
      </c>
    </row>
    <row r="4">
      <c r="A4" t="n">
        <v>11</v>
      </c>
    </row>
    <row r="5">
      <c r="A5" t="n">
        <v>8</v>
      </c>
    </row>
    <row r="6">
      <c r="A6" t="n">
        <v>4</v>
      </c>
    </row>
    <row r="7">
      <c r="A7" t="n">
        <v>3</v>
      </c>
    </row>
    <row r="8">
      <c r="A8" t="n">
        <v>2</v>
      </c>
    </row>
    <row r="9">
      <c r="A9" t="n">
        <v>1</v>
      </c>
    </row>
    <row r="10">
      <c r="A10" t="n">
        <v>1</v>
      </c>
    </row>
    <row r="11">
      <c r="A11" t="n">
        <v>1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F1">
        <f>PERCENTRANK.INC(A2:A11,13)</f>
        <v/>
      </c>
      <c r="Z1">
        <f>1111+2222</f>
        <v/>
      </c>
    </row>
    <row r="2">
      <c r="A2" t="n">
        <v>13</v>
      </c>
    </row>
    <row r="3">
      <c r="A3" t="n">
        <v>12</v>
      </c>
    </row>
    <row r="4">
      <c r="A4" t="n">
        <v>11</v>
      </c>
    </row>
    <row r="5">
      <c r="A5" t="n">
        <v>8</v>
      </c>
    </row>
    <row r="6">
      <c r="A6" t="n">
        <v>4</v>
      </c>
    </row>
    <row r="7">
      <c r="A7" t="n">
        <v>3</v>
      </c>
    </row>
    <row r="8">
      <c r="A8" t="n">
        <v>2</v>
      </c>
    </row>
    <row r="9">
      <c r="A9" t="n">
        <v>1</v>
      </c>
    </row>
    <row r="10">
      <c r="A10" t="n">
        <v>1</v>
      </c>
    </row>
    <row r="11">
      <c r="A11" t="n">
        <v>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F1">
        <f>PERCENTRANK.INC(A2:A11,2,0)</f>
        <v/>
      </c>
      <c r="Z1">
        <f>1111+2222</f>
        <v/>
      </c>
    </row>
    <row r="2">
      <c r="A2" t="n">
        <v>13</v>
      </c>
    </row>
    <row r="3">
      <c r="A3" t="n">
        <v>12</v>
      </c>
    </row>
    <row r="4">
      <c r="A4" t="n">
        <v>11</v>
      </c>
    </row>
    <row r="5">
      <c r="A5" t="n">
        <v>8</v>
      </c>
    </row>
    <row r="6">
      <c r="A6" t="n">
        <v>4</v>
      </c>
    </row>
    <row r="7">
      <c r="A7" t="n">
        <v>3</v>
      </c>
    </row>
    <row r="8">
      <c r="A8" t="n">
        <v>2</v>
      </c>
    </row>
    <row r="9">
      <c r="A9" t="n">
        <v>1</v>
      </c>
    </row>
    <row r="10">
      <c r="A10" t="n">
        <v>1</v>
      </c>
    </row>
    <row r="11">
      <c r="A11" t="n">
        <v>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F1">
        <f>PERCENTRANK.INC(D20:D25,2)</f>
        <v/>
      </c>
      <c r="Z1">
        <f>1111+2222</f>
        <v/>
      </c>
    </row>
    <row r="2">
      <c r="A2" t="n">
        <v>13</v>
      </c>
    </row>
    <row r="3">
      <c r="A3" t="n">
        <v>12</v>
      </c>
    </row>
    <row r="4">
      <c r="A4" t="n">
        <v>11</v>
      </c>
    </row>
    <row r="5">
      <c r="A5" t="n">
        <v>8</v>
      </c>
    </row>
    <row r="6">
      <c r="A6" t="n">
        <v>4</v>
      </c>
    </row>
    <row r="7">
      <c r="A7" t="n">
        <v>3</v>
      </c>
    </row>
    <row r="8">
      <c r="A8" t="n">
        <v>2</v>
      </c>
    </row>
    <row r="9">
      <c r="A9" t="n">
        <v>1</v>
      </c>
    </row>
    <row r="10">
      <c r="A10" t="n">
        <v>1</v>
      </c>
    </row>
    <row r="11">
      <c r="A11" t="n">
        <v>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PERMUT(A2,A3)</f>
        <v/>
      </c>
      <c r="Z1">
        <f>1111+2222</f>
        <v/>
      </c>
    </row>
    <row r="2">
      <c r="A2" t="n">
        <v>100</v>
      </c>
    </row>
    <row r="3">
      <c r="A3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PERMUT(3,2)</f>
        <v/>
      </c>
      <c r="Z1">
        <f>1111+2222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PERMUT(5,0)</f>
        <v/>
      </c>
      <c r="Z1">
        <f>1111+2222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PERMUT(3.9,2.9)</f>
        <v/>
      </c>
      <c r="Z1">
        <f>1111+2222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PERMUT(2,3)</f>
        <v/>
      </c>
      <c r="Z1">
        <f>1111+2222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PERMUT(0,0)</f>
        <v/>
      </c>
      <c r="Z1">
        <f>1111+2222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PERMUT("x",2)</f>
        <v/>
      </c>
      <c r="Z1">
        <f>1111+2222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PERMUTATIONA(3,2)</f>
        <v/>
      </c>
      <c r="Z1">
        <f>1111+2222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PERMUTATIONA(2,2)</f>
        <v/>
      </c>
      <c r="Z1">
        <f>1111+2222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PERMUTATIONA(3.9,2.9)</f>
        <v/>
      </c>
      <c r="Z1">
        <f>1111+2222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PERMUTATIONA(0,0)</f>
        <v/>
      </c>
      <c r="Z1">
        <f>1111+2222</f>
        <v/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PERMUTATIONA(0,1)</f>
        <v/>
      </c>
      <c r="Z1">
        <f>1111+2222</f>
        <v/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PERMUTATIONA("x",2)</f>
        <v/>
      </c>
      <c r="Z1">
        <f>1111+2222</f>
        <v/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ROUND(PHI(0.75),9)</f>
        <v/>
      </c>
      <c r="Z1">
        <f>1111+2222</f>
        <v/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ROUND(PHI(0.75),12)</f>
        <v/>
      </c>
      <c r="Z1">
        <f>1111+2222</f>
        <v/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ROUND(PHI(0),12)</f>
        <v/>
      </c>
      <c r="Z1">
        <f>1111+2222</f>
        <v/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ROUND(PHI(0.75)-NORM.S.DIST(0.75,FALSE),12)</f>
        <v/>
      </c>
      <c r="Z1">
        <f>1111+2222</f>
        <v/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ROUND(PHI(1.25)-PHI(-1.25),12)</f>
        <v/>
      </c>
      <c r="Z1">
        <f>1111+2222</f>
        <v/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PHI("x")</f>
        <v/>
      </c>
      <c r="Z1">
        <f>1111+2222</f>
        <v/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PHONETIC((A2,C2))</f>
        <v/>
      </c>
      <c r="Z1">
        <f>1111+2222</f>
        <v/>
      </c>
    </row>
    <row r="2">
      <c r="A2" t="inlineStr">
        <is>
          <t>Tokyo</t>
        </is>
      </c>
      <c r="C2" t="inlineStr">
        <is>
          <t>Osaka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PHONETIC(A2)</f>
        <v/>
      </c>
      <c r="Z1">
        <f>1111+2222</f>
        <v/>
      </c>
    </row>
    <row r="2">
      <c r="A2" t="inlineStr">
        <is>
          <t>Tokyo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PHONETIC(A2:B3)</f>
        <v/>
      </c>
      <c r="Z1">
        <f>1111+2222</f>
        <v/>
      </c>
    </row>
    <row r="2">
      <c r="A2" t="inlineStr">
        <is>
          <t>Tokyo</t>
        </is>
      </c>
      <c r="B2" t="inlineStr">
        <is>
          <t>Kyoto</t>
        </is>
      </c>
    </row>
    <row r="3">
      <c r="A3" t="inlineStr">
        <is>
          <t>Osaka</t>
        </is>
      </c>
      <c r="B3" t="inlineStr">
        <is>
          <t>Nara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ROUND(POISSON(A2,A3,TRUE),6)</f>
        <v/>
      </c>
      <c r="Z1">
        <f>1111+2222</f>
        <v/>
      </c>
    </row>
    <row r="2">
      <c r="A2" t="n">
        <v>2</v>
      </c>
    </row>
    <row r="3">
      <c r="A3" t="n">
        <v>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ROUND(POISSON(A2,A3,FALSE),6)</f>
        <v/>
      </c>
      <c r="Z1">
        <f>1111+2222</f>
        <v/>
      </c>
    </row>
    <row r="2">
      <c r="A2" t="n">
        <v>2</v>
      </c>
    </row>
    <row r="3">
      <c r="A3" t="n">
        <v>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ROUND(POISSON(A2,A3,TRUE),12)</f>
        <v/>
      </c>
      <c r="Z1">
        <f>1111+2222</f>
        <v/>
      </c>
    </row>
    <row r="2">
      <c r="A2" t="n">
        <v>2</v>
      </c>
    </row>
    <row r="3">
      <c r="A3" t="n">
        <v>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ROUND(POISSON(2.9,A3,FALSE)-POISSON(2,A3,FALSE),12)</f>
        <v/>
      </c>
      <c r="Z1">
        <f>1111+2222</f>
        <v/>
      </c>
    </row>
    <row r="2">
      <c r="A2" t="n">
        <v>2</v>
      </c>
    </row>
    <row r="3">
      <c r="A3" t="n">
        <v>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POISSON(-1,A3,TRUE)</f>
        <v/>
      </c>
      <c r="Z1">
        <f>1111+2222</f>
        <v/>
      </c>
    </row>
    <row r="2">
      <c r="A2" t="n">
        <v>2</v>
      </c>
    </row>
    <row r="3">
      <c r="A3" t="n">
        <v>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POISSON(A2,-5,TRUE)</f>
        <v/>
      </c>
      <c r="Z1">
        <f>1111+2222</f>
        <v/>
      </c>
    </row>
    <row r="2">
      <c r="A2" t="n">
        <v>2</v>
      </c>
    </row>
    <row r="3">
      <c r="A3" t="n">
        <v>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POISSON("x",A3,TRUE)</f>
        <v/>
      </c>
      <c r="Z1">
        <f>1111+2222</f>
        <v/>
      </c>
    </row>
    <row r="2">
      <c r="A2" t="n">
        <v>2</v>
      </c>
    </row>
    <row r="3">
      <c r="A3" t="n">
        <v>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ROUND(POISSON.DIST(A2,A3,TRUE),6)</f>
        <v/>
      </c>
      <c r="Z1">
        <f>1111+2222</f>
        <v/>
      </c>
    </row>
    <row r="2">
      <c r="A2" t="n">
        <v>2</v>
      </c>
    </row>
    <row r="3">
      <c r="A3" t="n">
        <v>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ROUND(POISSON.DIST(A2,A3,FALSE),6)</f>
        <v/>
      </c>
      <c r="Z1">
        <f>1111+2222</f>
        <v/>
      </c>
    </row>
    <row r="2">
      <c r="A2" t="n">
        <v>2</v>
      </c>
    </row>
    <row r="3">
      <c r="A3" t="n">
        <v>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ROUND(POISSON.DIST(A2,A3,FALSE),12)</f>
        <v/>
      </c>
      <c r="Z1">
        <f>1111+2222</f>
        <v/>
      </c>
    </row>
    <row r="2">
      <c r="A2" t="n">
        <v>2</v>
      </c>
    </row>
    <row r="3">
      <c r="A3" t="n">
        <v>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ROUND(POISSON.DIST(2,5,TRUE)-POISSON(2,5,TRUE),12)</f>
        <v/>
      </c>
      <c r="Z1">
        <f>1111+2222</f>
        <v/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POISSON.DIST(-1,A3,TRUE)</f>
        <v/>
      </c>
      <c r="Z1">
        <f>1111+2222</f>
        <v/>
      </c>
    </row>
    <row r="2">
      <c r="A2" t="n">
        <v>2</v>
      </c>
    </row>
    <row r="3">
      <c r="A3" t="n">
        <v>5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POISSON.DIST(A2,-5,TRUE)</f>
        <v/>
      </c>
      <c r="Z1">
        <f>1111+2222</f>
        <v/>
      </c>
    </row>
    <row r="2">
      <c r="A2" t="n">
        <v>2</v>
      </c>
    </row>
    <row r="3">
      <c r="A3" t="n">
        <v>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POISSON.DIST("x",A3,TRUE)</f>
        <v/>
      </c>
      <c r="Z1">
        <f>1111+2222</f>
        <v/>
      </c>
    </row>
    <row r="2">
      <c r="A2" t="n">
        <v>2</v>
      </c>
    </row>
    <row r="3">
      <c r="A3" t="n">
        <v>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F1">
        <f>ROUND(PRICE(A2,A3,A4,A5,A6,A7,A8),2)</f>
        <v/>
      </c>
      <c r="Z1">
        <f>1111+2222</f>
        <v/>
      </c>
    </row>
    <row r="2">
      <c r="A2" t="n">
        <v>39493</v>
      </c>
    </row>
    <row r="3">
      <c r="A3" t="n">
        <v>43054</v>
      </c>
    </row>
    <row r="4">
      <c r="A4" t="n">
        <v>0.0575</v>
      </c>
    </row>
    <row r="5">
      <c r="A5" t="n">
        <v>0.065</v>
      </c>
    </row>
    <row r="6">
      <c r="A6" t="n">
        <v>100</v>
      </c>
    </row>
    <row r="7">
      <c r="A7" t="n">
        <v>2</v>
      </c>
    </row>
    <row r="8">
      <c r="A8" t="n">
        <v>0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F1">
        <f>ROUND(PRICE(A2,A3,A4,A5,A6,A7,A8),10)</f>
        <v/>
      </c>
      <c r="Z1">
        <f>1111+2222</f>
        <v/>
      </c>
    </row>
    <row r="2">
      <c r="A2" t="n">
        <v>39493</v>
      </c>
    </row>
    <row r="3">
      <c r="A3" t="n">
        <v>43054</v>
      </c>
    </row>
    <row r="4">
      <c r="A4" t="n">
        <v>0.0575</v>
      </c>
    </row>
    <row r="5">
      <c r="A5" t="n">
        <v>0.065</v>
      </c>
    </row>
    <row r="6">
      <c r="A6" t="n">
        <v>100</v>
      </c>
    </row>
    <row r="7">
      <c r="A7" t="n">
        <v>2</v>
      </c>
    </row>
    <row r="8">
      <c r="A8" t="n">
        <v>0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F1">
        <f>ROUND(PRICE(A9,A3,0.065,0.065,100,2,0),10)</f>
        <v/>
      </c>
      <c r="Z1">
        <f>1111+2222</f>
        <v/>
      </c>
    </row>
    <row r="2">
      <c r="A2" t="n">
        <v>39493</v>
      </c>
    </row>
    <row r="3">
      <c r="A3" t="n">
        <v>43054</v>
      </c>
    </row>
    <row r="4">
      <c r="A4" t="n">
        <v>0.0575</v>
      </c>
    </row>
    <row r="5">
      <c r="A5" t="n">
        <v>0.065</v>
      </c>
    </row>
    <row r="6">
      <c r="A6" t="n">
        <v>100</v>
      </c>
    </row>
    <row r="7">
      <c r="A7" t="n">
        <v>2</v>
      </c>
    </row>
    <row r="8">
      <c r="A8" t="n">
        <v>0</v>
      </c>
    </row>
    <row r="9">
      <c r="A9" t="n">
        <v>39583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F1">
        <f>PRICE(A2,A3,A4,A5,A6,3,A8)</f>
        <v/>
      </c>
      <c r="Z1">
        <f>1111+2222</f>
        <v/>
      </c>
    </row>
    <row r="2">
      <c r="A2" t="n">
        <v>39493</v>
      </c>
    </row>
    <row r="3">
      <c r="A3" t="n">
        <v>43054</v>
      </c>
    </row>
    <row r="4">
      <c r="A4" t="n">
        <v>0.0575</v>
      </c>
    </row>
    <row r="5">
      <c r="A5" t="n">
        <v>0.065</v>
      </c>
    </row>
    <row r="6">
      <c r="A6" t="n">
        <v>100</v>
      </c>
    </row>
    <row r="7">
      <c r="A7" t="n">
        <v>2</v>
      </c>
    </row>
    <row r="8">
      <c r="A8" t="n">
        <v>0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F1">
        <f>PRICE(A2,A3,A4,A5,A6,A7,5)</f>
        <v/>
      </c>
      <c r="Z1">
        <f>1111+2222</f>
        <v/>
      </c>
    </row>
    <row r="2">
      <c r="A2" t="n">
        <v>39493</v>
      </c>
    </row>
    <row r="3">
      <c r="A3" t="n">
        <v>43054</v>
      </c>
    </row>
    <row r="4">
      <c r="A4" t="n">
        <v>0.0575</v>
      </c>
    </row>
    <row r="5">
      <c r="A5" t="n">
        <v>0.065</v>
      </c>
    </row>
    <row r="6">
      <c r="A6" t="n">
        <v>100</v>
      </c>
    </row>
    <row r="7">
      <c r="A7" t="n">
        <v>2</v>
      </c>
    </row>
    <row r="8">
      <c r="A8" t="n">
        <v>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F1">
        <f>PRICE(A3,A3,A4,A5,A6,A7,A8)</f>
        <v/>
      </c>
      <c r="Z1">
        <f>1111+2222</f>
        <v/>
      </c>
    </row>
    <row r="2">
      <c r="A2" t="n">
        <v>39493</v>
      </c>
    </row>
    <row r="3">
      <c r="A3" t="n">
        <v>43054</v>
      </c>
    </row>
    <row r="4">
      <c r="A4" t="n">
        <v>0.0575</v>
      </c>
    </row>
    <row r="5">
      <c r="A5" t="n">
        <v>0.065</v>
      </c>
    </row>
    <row r="6">
      <c r="A6" t="n">
        <v>100</v>
      </c>
    </row>
    <row r="7">
      <c r="A7" t="n">
        <v>2</v>
      </c>
    </row>
    <row r="8">
      <c r="A8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F1">
        <f>PRICE(A2,A3,A4,A5,0,A7,A8)</f>
        <v/>
      </c>
      <c r="Z1">
        <f>1111+2222</f>
        <v/>
      </c>
    </row>
    <row r="2">
      <c r="A2" t="n">
        <v>39493</v>
      </c>
    </row>
    <row r="3">
      <c r="A3" t="n">
        <v>43054</v>
      </c>
    </row>
    <row r="4">
      <c r="A4" t="n">
        <v>0.0575</v>
      </c>
    </row>
    <row r="5">
      <c r="A5" t="n">
        <v>0.065</v>
      </c>
    </row>
    <row r="6">
      <c r="A6" t="n">
        <v>100</v>
      </c>
    </row>
    <row r="7">
      <c r="A7" t="n">
        <v>2</v>
      </c>
    </row>
    <row r="8">
      <c r="A8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F1">
        <f>PRICE("not a date",A3,A4,A5,A6,A7,A8)</f>
        <v/>
      </c>
      <c r="Z1">
        <f>1111+2222</f>
        <v/>
      </c>
    </row>
    <row r="2">
      <c r="A2" t="n">
        <v>39493</v>
      </c>
    </row>
    <row r="3">
      <c r="A3" t="n">
        <v>43054</v>
      </c>
    </row>
    <row r="4">
      <c r="A4" t="n">
        <v>0.0575</v>
      </c>
    </row>
    <row r="5">
      <c r="A5" t="n">
        <v>0.065</v>
      </c>
    </row>
    <row r="6">
      <c r="A6" t="n">
        <v>100</v>
      </c>
    </row>
    <row r="7">
      <c r="A7" t="n">
        <v>2</v>
      </c>
    </row>
    <row r="8">
      <c r="A8" t="n">
        <v>0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ROUND(PRICEDISC(A2,A3,A4,A5,A6),2)</f>
        <v/>
      </c>
      <c r="Z1">
        <f>1111+2222</f>
        <v/>
      </c>
    </row>
    <row r="2">
      <c r="A2" t="n">
        <v>39494</v>
      </c>
    </row>
    <row r="3">
      <c r="A3" t="n">
        <v>39508</v>
      </c>
    </row>
    <row r="4">
      <c r="A4" t="n">
        <v>0.0525</v>
      </c>
    </row>
    <row r="5">
      <c r="A5" t="n">
        <v>100</v>
      </c>
    </row>
    <row r="6">
      <c r="A6" t="n">
        <v>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ROUND(PRICEDISC(A2,A3,A4,A5,A6),10)</f>
        <v/>
      </c>
      <c r="Z1">
        <f>1111+2222</f>
        <v/>
      </c>
    </row>
    <row r="2">
      <c r="A2" t="n">
        <v>39494</v>
      </c>
    </row>
    <row r="3">
      <c r="A3" t="n">
        <v>39508</v>
      </c>
    </row>
    <row r="4">
      <c r="A4" t="n">
        <v>0.0525</v>
      </c>
    </row>
    <row r="5">
      <c r="A5" t="n">
        <v>100</v>
      </c>
    </row>
    <row r="6">
      <c r="A6" t="n">
        <v>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PRICEDISC(A2,A3,0,A5,A6)</f>
        <v/>
      </c>
      <c r="Z1">
        <f>1111+2222</f>
        <v/>
      </c>
    </row>
    <row r="2">
      <c r="A2" t="n">
        <v>39494</v>
      </c>
    </row>
    <row r="3">
      <c r="A3" t="n">
        <v>39508</v>
      </c>
    </row>
    <row r="4">
      <c r="A4" t="n">
        <v>0.0525</v>
      </c>
    </row>
    <row r="5">
      <c r="A5" t="n">
        <v>100</v>
      </c>
    </row>
    <row r="6">
      <c r="A6" t="n">
        <v>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PRICEDISC(A2,A3,A4,A5,5)</f>
        <v/>
      </c>
      <c r="Z1">
        <f>1111+2222</f>
        <v/>
      </c>
    </row>
    <row r="2">
      <c r="A2" t="n">
        <v>39494</v>
      </c>
    </row>
    <row r="3">
      <c r="A3" t="n">
        <v>39508</v>
      </c>
    </row>
    <row r="4">
      <c r="A4" t="n">
        <v>0.0525</v>
      </c>
    </row>
    <row r="5">
      <c r="A5" t="n">
        <v>100</v>
      </c>
    </row>
    <row r="6">
      <c r="A6" t="n">
        <v>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PRICEDISC(A3,A3,A4,A5,A6)</f>
        <v/>
      </c>
      <c r="Z1">
        <f>1111+2222</f>
        <v/>
      </c>
    </row>
    <row r="2">
      <c r="A2" t="n">
        <v>39494</v>
      </c>
    </row>
    <row r="3">
      <c r="A3" t="n">
        <v>39508</v>
      </c>
    </row>
    <row r="4">
      <c r="A4" t="n">
        <v>0.0525</v>
      </c>
    </row>
    <row r="5">
      <c r="A5" t="n">
        <v>100</v>
      </c>
    </row>
    <row r="6">
      <c r="A6" t="n">
        <v>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PRICEDISC("not a date",A3,A4,A5,A6)</f>
        <v/>
      </c>
      <c r="Z1">
        <f>1111+2222</f>
        <v/>
      </c>
    </row>
    <row r="2">
      <c r="A2" t="n">
        <v>39494</v>
      </c>
    </row>
    <row r="3">
      <c r="A3" t="n">
        <v>39508</v>
      </c>
    </row>
    <row r="4">
      <c r="A4" t="n">
        <v>0.0525</v>
      </c>
    </row>
    <row r="5">
      <c r="A5" t="n">
        <v>100</v>
      </c>
    </row>
    <row r="6">
      <c r="A6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F1">
        <f>ROUND(PRICEMAT(A2,A3,A4,A5,A6,A7),2)</f>
        <v/>
      </c>
      <c r="Z1">
        <f>1111+2222</f>
        <v/>
      </c>
    </row>
    <row r="2">
      <c r="A2" t="n">
        <v>39493</v>
      </c>
    </row>
    <row r="3">
      <c r="A3" t="n">
        <v>39551</v>
      </c>
    </row>
    <row r="4">
      <c r="A4" t="n">
        <v>39397</v>
      </c>
    </row>
    <row r="5">
      <c r="A5" t="n">
        <v>0.061</v>
      </c>
    </row>
    <row r="6">
      <c r="A6" t="n">
        <v>0.061</v>
      </c>
    </row>
    <row r="7">
      <c r="A7" t="n">
        <v>0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F1">
        <f>ROUND(PRICEMAT(A2,A3,A4,A5,A6,A7),10)</f>
        <v/>
      </c>
      <c r="Z1">
        <f>1111+2222</f>
        <v/>
      </c>
    </row>
    <row r="2">
      <c r="A2" t="n">
        <v>39493</v>
      </c>
    </row>
    <row r="3">
      <c r="A3" t="n">
        <v>39551</v>
      </c>
    </row>
    <row r="4">
      <c r="A4" t="n">
        <v>39397</v>
      </c>
    </row>
    <row r="5">
      <c r="A5" t="n">
        <v>0.061</v>
      </c>
    </row>
    <row r="6">
      <c r="A6" t="n">
        <v>0.061</v>
      </c>
    </row>
    <row r="7">
      <c r="A7" t="n">
        <v>0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F1">
        <f>ROUND(PRICEMAT(A2,A3,A4,0,0,A7),10)</f>
        <v/>
      </c>
      <c r="Z1">
        <f>1111+2222</f>
        <v/>
      </c>
    </row>
    <row r="2">
      <c r="A2" t="n">
        <v>39493</v>
      </c>
    </row>
    <row r="3">
      <c r="A3" t="n">
        <v>39551</v>
      </c>
    </row>
    <row r="4">
      <c r="A4" t="n">
        <v>39397</v>
      </c>
    </row>
    <row r="5">
      <c r="A5" t="n">
        <v>0.061</v>
      </c>
    </row>
    <row r="6">
      <c r="A6" t="n">
        <v>0.061</v>
      </c>
    </row>
    <row r="7">
      <c r="A7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F1">
        <f>PRICEMAT(A2,A3,A4,-0.061,A6,A7)</f>
        <v/>
      </c>
      <c r="Z1">
        <f>1111+2222</f>
        <v/>
      </c>
    </row>
    <row r="2">
      <c r="A2" t="n">
        <v>39493</v>
      </c>
    </row>
    <row r="3">
      <c r="A3" t="n">
        <v>39551</v>
      </c>
    </row>
    <row r="4">
      <c r="A4" t="n">
        <v>39397</v>
      </c>
    </row>
    <row r="5">
      <c r="A5" t="n">
        <v>0.061</v>
      </c>
    </row>
    <row r="6">
      <c r="A6" t="n">
        <v>0.061</v>
      </c>
    </row>
    <row r="7">
      <c r="A7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F1">
        <f>PRICEMAT(A2,A3,A4,A5,A6,5)</f>
        <v/>
      </c>
      <c r="Z1">
        <f>1111+2222</f>
        <v/>
      </c>
    </row>
    <row r="2">
      <c r="A2" t="n">
        <v>39493</v>
      </c>
    </row>
    <row r="3">
      <c r="A3" t="n">
        <v>39551</v>
      </c>
    </row>
    <row r="4">
      <c r="A4" t="n">
        <v>39397</v>
      </c>
    </row>
    <row r="5">
      <c r="A5" t="n">
        <v>0.061</v>
      </c>
    </row>
    <row r="6">
      <c r="A6" t="n">
        <v>0.061</v>
      </c>
    </row>
    <row r="7">
      <c r="A7" t="n">
        <v>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F1">
        <f>PRICEMAT(A3,A3,A4,A5,A6,A7)</f>
        <v/>
      </c>
      <c r="Z1">
        <f>1111+2222</f>
        <v/>
      </c>
    </row>
    <row r="2">
      <c r="A2" t="n">
        <v>39493</v>
      </c>
    </row>
    <row r="3">
      <c r="A3" t="n">
        <v>39551</v>
      </c>
    </row>
    <row r="4">
      <c r="A4" t="n">
        <v>39397</v>
      </c>
    </row>
    <row r="5">
      <c r="A5" t="n">
        <v>0.061</v>
      </c>
    </row>
    <row r="6">
      <c r="A6" t="n">
        <v>0.061</v>
      </c>
    </row>
    <row r="7">
      <c r="A7" t="n">
        <v>0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"/>
    </sheetView>
  </sheetViews>
  <sheetFormatPr baseColWidth="8" defaultRowHeight="15"/>
  <sheetData>
    <row r="1">
      <c r="F1">
        <f>PRICEMAT(A2,A3,"not a date",A5,A6,A7)</f>
        <v/>
      </c>
      <c r="Z1">
        <f>1111+2222</f>
        <v/>
      </c>
    </row>
    <row r="2">
      <c r="A2" t="n">
        <v>39493</v>
      </c>
    </row>
    <row r="3">
      <c r="A3" t="n">
        <v>39551</v>
      </c>
    </row>
    <row r="4">
      <c r="A4" t="n">
        <v>39397</v>
      </c>
    </row>
    <row r="5">
      <c r="A5" t="n">
        <v>0.061</v>
      </c>
    </row>
    <row r="6">
      <c r="A6" t="n">
        <v>0.061</v>
      </c>
    </row>
    <row r="7">
      <c r="A7" t="n">
        <v>0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ROUND(PROB(A3:A6,B3:B6,2),12)</f>
        <v/>
      </c>
      <c r="Z1">
        <f>1111+2222</f>
        <v/>
      </c>
    </row>
    <row r="3">
      <c r="A3" t="n">
        <v>0</v>
      </c>
      <c r="B3" t="n">
        <v>0.2</v>
      </c>
    </row>
    <row r="4">
      <c r="A4" t="n">
        <v>1</v>
      </c>
      <c r="B4" t="n">
        <v>0.3</v>
      </c>
    </row>
    <row r="5">
      <c r="A5" t="n">
        <v>2</v>
      </c>
      <c r="B5" t="n">
        <v>0.1</v>
      </c>
    </row>
    <row r="6">
      <c r="A6" t="n">
        <v>3</v>
      </c>
      <c r="B6" t="n">
        <v>0.4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ROUND(PROB(A3:A6,B3:B6,1,3),12)</f>
        <v/>
      </c>
      <c r="Z1">
        <f>1111+2222</f>
        <v/>
      </c>
    </row>
    <row r="3">
      <c r="A3" t="n">
        <v>0</v>
      </c>
      <c r="B3" t="n">
        <v>0.2</v>
      </c>
    </row>
    <row r="4">
      <c r="A4" t="n">
        <v>1</v>
      </c>
      <c r="B4" t="n">
        <v>0.3</v>
      </c>
    </row>
    <row r="5">
      <c r="A5" t="n">
        <v>2</v>
      </c>
      <c r="B5" t="n">
        <v>0.1</v>
      </c>
    </row>
    <row r="6">
      <c r="A6" t="n">
        <v>3</v>
      </c>
      <c r="B6" t="n">
        <v>0.4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ROUND(PROB(A3:A6,B3:B6,0,3),12)</f>
        <v/>
      </c>
      <c r="Z1">
        <f>1111+2222</f>
        <v/>
      </c>
    </row>
    <row r="3">
      <c r="A3" t="n">
        <v>0</v>
      </c>
      <c r="B3" t="n">
        <v>0.2</v>
      </c>
    </row>
    <row r="4">
      <c r="A4" t="n">
        <v>1</v>
      </c>
      <c r="B4" t="n">
        <v>0.3</v>
      </c>
    </row>
    <row r="5">
      <c r="A5" t="n">
        <v>2</v>
      </c>
      <c r="B5" t="n">
        <v>0.1</v>
      </c>
    </row>
    <row r="6">
      <c r="A6" t="n">
        <v>3</v>
      </c>
      <c r="B6" t="n">
        <v>0.4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PROB(A3:A6,C3:C6,2)</f>
        <v/>
      </c>
      <c r="Z1">
        <f>1111+2222</f>
        <v/>
      </c>
    </row>
    <row r="3">
      <c r="A3" t="n">
        <v>0</v>
      </c>
      <c r="C3" t="n">
        <v>0.2</v>
      </c>
    </row>
    <row r="4">
      <c r="A4" t="n">
        <v>1</v>
      </c>
      <c r="C4" t="n">
        <v>0.3</v>
      </c>
    </row>
    <row r="5">
      <c r="A5" t="n">
        <v>2</v>
      </c>
      <c r="C5" t="n">
        <v>0.1</v>
      </c>
    </row>
    <row r="6">
      <c r="A6" t="n">
        <v>3</v>
      </c>
      <c r="C6" t="n">
        <v>0.3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PROB(A3:A6,D3:D6,2)</f>
        <v/>
      </c>
      <c r="Z1">
        <f>1111+2222</f>
        <v/>
      </c>
    </row>
    <row r="3">
      <c r="A3" t="n">
        <v>0</v>
      </c>
      <c r="D3" t="n">
        <v>1.5</v>
      </c>
    </row>
    <row r="4">
      <c r="A4" t="n">
        <v>1</v>
      </c>
      <c r="D4" t="n">
        <v>0.3</v>
      </c>
    </row>
    <row r="5">
      <c r="A5" t="n">
        <v>2</v>
      </c>
      <c r="D5" t="n">
        <v>0.1</v>
      </c>
    </row>
    <row r="6">
      <c r="A6" t="n">
        <v>3</v>
      </c>
      <c r="D6" t="n">
        <v>-0.9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PROB(A3:A6,B3:B5,2)</f>
        <v/>
      </c>
      <c r="Z1">
        <f>1111+2222</f>
        <v/>
      </c>
    </row>
    <row r="3">
      <c r="A3" t="n">
        <v>0</v>
      </c>
      <c r="B3" t="n">
        <v>0.2</v>
      </c>
    </row>
    <row r="4">
      <c r="A4" t="n">
        <v>1</v>
      </c>
      <c r="B4" t="n">
        <v>0.3</v>
      </c>
    </row>
    <row r="5">
      <c r="A5" t="n">
        <v>2</v>
      </c>
      <c r="B5" t="n">
        <v>0.1</v>
      </c>
    </row>
    <row r="6">
      <c r="A6" t="n">
        <v>3</v>
      </c>
      <c r="B6" t="n">
        <v>0.4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ROUND(RECEIVED(A2,A3,A4,A5,A6),2)</f>
        <v/>
      </c>
      <c r="Z1">
        <f>1111+2222</f>
        <v/>
      </c>
    </row>
    <row r="2">
      <c r="A2" t="n">
        <v>39493</v>
      </c>
    </row>
    <row r="3">
      <c r="A3" t="n">
        <v>39583</v>
      </c>
    </row>
    <row r="4">
      <c r="A4" t="n">
        <v>1000000</v>
      </c>
    </row>
    <row r="5">
      <c r="A5" t="n">
        <v>0.0575</v>
      </c>
    </row>
    <row r="6">
      <c r="A6" t="n">
        <v>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ROUND(RECEIVED(A2,A3,A4,A5,A6),6)</f>
        <v/>
      </c>
      <c r="Z1">
        <f>1111+2222</f>
        <v/>
      </c>
    </row>
    <row r="2">
      <c r="A2" t="n">
        <v>39493</v>
      </c>
    </row>
    <row r="3">
      <c r="A3" t="n">
        <v>39583</v>
      </c>
    </row>
    <row r="4">
      <c r="A4" t="n">
        <v>1000000</v>
      </c>
    </row>
    <row r="5">
      <c r="A5" t="n">
        <v>0.0575</v>
      </c>
    </row>
    <row r="6">
      <c r="A6" t="n">
        <v>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RECEIVED(A2,A3,0,A5,A6)</f>
        <v/>
      </c>
      <c r="Z1">
        <f>1111+2222</f>
        <v/>
      </c>
    </row>
    <row r="2">
      <c r="A2" t="n">
        <v>39493</v>
      </c>
    </row>
    <row r="3">
      <c r="A3" t="n">
        <v>39583</v>
      </c>
    </row>
    <row r="4">
      <c r="A4" t="n">
        <v>1000000</v>
      </c>
    </row>
    <row r="5">
      <c r="A5" t="n">
        <v>0.0575</v>
      </c>
    </row>
    <row r="6">
      <c r="A6" t="n">
        <v>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RECEIVED(A2,A3,A4,0,A6)</f>
        <v/>
      </c>
      <c r="Z1">
        <f>1111+2222</f>
        <v/>
      </c>
    </row>
    <row r="2">
      <c r="A2" t="n">
        <v>39493</v>
      </c>
    </row>
    <row r="3">
      <c r="A3" t="n">
        <v>39583</v>
      </c>
    </row>
    <row r="4">
      <c r="A4" t="n">
        <v>1000000</v>
      </c>
    </row>
    <row r="5">
      <c r="A5" t="n">
        <v>0.0575</v>
      </c>
    </row>
    <row r="6">
      <c r="A6" t="n">
        <v>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RECEIVED(A2,A3,A4,A5,5)</f>
        <v/>
      </c>
      <c r="Z1">
        <f>1111+2222</f>
        <v/>
      </c>
    </row>
    <row r="2">
      <c r="A2" t="n">
        <v>39493</v>
      </c>
    </row>
    <row r="3">
      <c r="A3" t="n">
        <v>39583</v>
      </c>
    </row>
    <row r="4">
      <c r="A4" t="n">
        <v>1000000</v>
      </c>
    </row>
    <row r="5">
      <c r="A5" t="n">
        <v>0.0575</v>
      </c>
    </row>
    <row r="6">
      <c r="A6" t="n">
        <v>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RECEIVED(A3,A3,A4,A5,A6)</f>
        <v/>
      </c>
      <c r="Z1">
        <f>1111+2222</f>
        <v/>
      </c>
    </row>
    <row r="2">
      <c r="A2" t="n">
        <v>39493</v>
      </c>
    </row>
    <row r="3">
      <c r="A3" t="n">
        <v>39583</v>
      </c>
    </row>
    <row r="4">
      <c r="A4" t="n">
        <v>1000000</v>
      </c>
    </row>
    <row r="5">
      <c r="A5" t="n">
        <v>0.0575</v>
      </c>
    </row>
    <row r="6">
      <c r="A6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F1">
        <f>RECEIVED("not a date",A3,A4,A5,A6)</f>
        <v/>
      </c>
      <c r="Z1">
        <f>1111+2222</f>
        <v/>
      </c>
    </row>
    <row r="2">
      <c r="A2" t="n">
        <v>39493</v>
      </c>
    </row>
    <row r="3">
      <c r="A3" t="n">
        <v>39583</v>
      </c>
    </row>
    <row r="4">
      <c r="A4" t="n">
        <v>1000000</v>
      </c>
    </row>
    <row r="5">
      <c r="A5" t="n">
        <v>0.0575</v>
      </c>
    </row>
    <row r="6">
      <c r="A6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REGEXEXTRACT(A2,"[A-Z][a-z]+")</f>
        <v/>
      </c>
      <c r="Z1">
        <f>1111+2222</f>
        <v/>
      </c>
    </row>
    <row r="2">
      <c r="A2" t="inlineStr">
        <is>
          <t>DylanWilliams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COUNTA(REGEXEXTRACT(A2,"[A-Z][a-z]+",1))</f>
        <v/>
      </c>
      <c r="Z1">
        <f>1111+2222</f>
        <v/>
      </c>
    </row>
    <row r="2">
      <c r="A2" t="inlineStr">
        <is>
          <t>DylanWilliams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REGEXEXTRACT("2024-08-31","-([0-9]{2})-",2)</f>
        <v/>
      </c>
      <c r="Z1">
        <f>1111+2222</f>
        <v/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REGEXEXTRACT("abcDEF","[A-Z]+",0,1)</f>
        <v/>
      </c>
      <c r="Z1">
        <f>1111+2222</f>
        <v/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REGEXEXTRACT("abc","[0-9]+")</f>
        <v/>
      </c>
      <c r="Z1">
        <f>1111+2222</f>
        <v/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REGEXREPLACE(A2,"[0-9]+-","***-")</f>
        <v/>
      </c>
      <c r="Z1">
        <f>1111+2222</f>
        <v/>
      </c>
    </row>
    <row r="2">
      <c r="A2" t="inlineStr">
        <is>
          <t>(378) 555-4195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REGEXREPLACE("a1b2c3","[0-9]","#")</f>
        <v/>
      </c>
      <c r="Z1">
        <f>1111+2222</f>
        <v/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REGEXREPLACE("a1b2c3","[0-9]","#",-1)</f>
        <v/>
      </c>
      <c r="Z1">
        <f>1111+2222</f>
        <v/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REGEXREPLACE("Apple apple","apple","X",0,1)</f>
        <v/>
      </c>
      <c r="Z1">
        <f>1111+2222</f>
        <v/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REGEXREPLACE("abc","[0-9]","#")</f>
        <v/>
      </c>
      <c r="Z1">
        <f>1111+2222</f>
        <v/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REGEXTEST(A2,"a")</f>
        <v/>
      </c>
      <c r="Z1">
        <f>1111+2222</f>
        <v/>
      </c>
    </row>
    <row r="2">
      <c r="A2" t="inlineStr">
        <is>
          <t>alfalfa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REGEXTEST(A2,"[a-z]")</f>
        <v/>
      </c>
      <c r="Z1">
        <f>1111+2222</f>
        <v/>
      </c>
    </row>
    <row r="2">
      <c r="A2" t="inlineStr">
        <is>
          <t>alfalfa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REGEXTEST(A2,"[A-Z]")</f>
        <v/>
      </c>
      <c r="Z1">
        <f>1111+2222</f>
        <v/>
      </c>
    </row>
    <row r="2">
      <c r="A2" t="inlineStr">
        <is>
          <t>alfalfa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REGEXTEST(A2,"[0-9]")</f>
        <v/>
      </c>
      <c r="Z1">
        <f>1111+2222</f>
        <v/>
      </c>
    </row>
    <row r="2">
      <c r="A2" t="inlineStr">
        <is>
          <t>alfalfa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REGEXTEST(A2,"^\([0-9]{3}\) [0-9]{3}-[0-9]{4}$")</f>
        <v/>
      </c>
      <c r="Z1">
        <f>1111+2222</f>
        <v/>
      </c>
    </row>
    <row r="2">
      <c r="A2" t="inlineStr">
        <is>
          <t>(378) 555-4195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REGEXTEST(A2,"^\([0-9]{3}\) [0-9]{3}-[0-9]{4}$")</f>
        <v/>
      </c>
      <c r="Z1">
        <f>1111+2222</f>
        <v/>
      </c>
    </row>
    <row r="2">
      <c r="A2" t="inlineStr">
        <is>
          <t>+1(878) 555-8622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REGEXTEST("ALFALFA","alfalfa",1)</f>
        <v/>
      </c>
      <c r="Z1">
        <f>1111+2222</f>
        <v/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REPLACEB(A2,6,5,"*")</f>
        <v/>
      </c>
      <c r="Z1">
        <f>1111+2222</f>
        <v/>
      </c>
    </row>
    <row r="2">
      <c r="A2" t="inlineStr">
        <is>
          <t>abcdefghijk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REPLACEB(A3,3,2,"10")</f>
        <v/>
      </c>
      <c r="Z1">
        <f>1111+2222</f>
        <v/>
      </c>
    </row>
    <row r="3">
      <c r="A3" t="n">
        <v>2009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F1">
        <f>REPLACEB(A4,1,3,"@")</f>
        <v/>
      </c>
      <c r="Z1">
        <f>1111+2222</f>
        <v/>
      </c>
    </row>
    <row r="4">
      <c r="A4" t="n">
        <v>123456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REPLACEB("abcdef",3,0,"XY")</f>
        <v/>
      </c>
      <c r="Z1">
        <f>1111+2222</f>
        <v/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REPLACEB("ＡＢＣ",1,2,"x")</f>
        <v/>
      </c>
      <c r="Z1">
        <f>1111+2222</f>
        <v/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F1">
        <f>RIGHTB(A2,5)</f>
        <v/>
      </c>
      <c r="Z1">
        <f>1111+2222</f>
        <v/>
      </c>
    </row>
    <row r="2">
      <c r="A2" t="inlineStr">
        <is>
          <t>Sale Price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RIGHTB(A3)</f>
        <v/>
      </c>
      <c r="Z1">
        <f>1111+2222</f>
        <v/>
      </c>
    </row>
    <row r="3">
      <c r="A3" t="inlineStr">
        <is>
          <t>Stock Number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RIGHTB(A3,99)</f>
        <v/>
      </c>
      <c r="Z1">
        <f>1111+2222</f>
        <v/>
      </c>
    </row>
    <row r="3">
      <c r="A3" t="inlineStr">
        <is>
          <t>Stock Number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RIGHTB(A3,0)</f>
        <v/>
      </c>
      <c r="Z1">
        <f>1111+2222</f>
        <v/>
      </c>
    </row>
    <row r="3">
      <c r="A3" t="inlineStr">
        <is>
          <t>Stock Number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F1">
        <f>RIGHTB(A3,-1)</f>
        <v/>
      </c>
      <c r="Z1">
        <f>1111+2222</f>
        <v/>
      </c>
    </row>
    <row r="3">
      <c r="A3" t="inlineStr">
        <is>
          <t>Stock Number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F1:Z1"/>
  <sheetViews>
    <sheetView workbookViewId="0">
      <selection activeCell="A1" sqref="A1"/>
    </sheetView>
  </sheetViews>
  <sheetFormatPr baseColWidth="8" defaultRowHeight="15"/>
  <sheetData>
    <row r="1">
      <c r="F1">
        <f>RIGHTB("ＡＢＣ",2)</f>
        <v/>
      </c>
      <c r="Z1">
        <f>1111+2222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2026-08-31T22:45:51Z</dcterms:created>
  <dcterms:modified xmlns:dcterms="http://purl.org/dc/terms/" xmlns:xsi="http://www.w3.org/2001/XMLSchema-instance" xsi:type="dcterms:W3CDTF">2026-08-31T22:45:51Z</dcterms:modified>
</cp:coreProperties>
</file>