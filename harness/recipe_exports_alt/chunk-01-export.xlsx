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eta" sheetId="1" r:id="rId5"/>
    <sheet state="visible" name="r015_average-ignoring-errors" sheetId="2" r:id="rId6"/>
    <sheet state="visible" name="r015gs-alt_average-ignoring-err" sheetId="3" r:id="rId7"/>
    <sheet state="visible" name="r017_average-of-the-top-n-score" sheetId="4" r:id="rId8"/>
    <sheet state="visible" name="r017gs-alt_average-of-the-top-n" sheetId="5" r:id="rId9"/>
    <sheet state="visible" name="r118_extract-numbers-from-text" sheetId="6" r:id="rId10"/>
    <sheet state="visible" name="r118gs-alt_extract-numbers-from" sheetId="7" r:id="rId11"/>
    <sheet state="visible" name="r129_find-the-last-value-in-a-c" sheetId="8" r:id="rId12"/>
    <sheet state="visible" name="r129gs-alt_find-the-last-value-" sheetId="9" r:id="rId13"/>
    <sheet state="visible" name="r133_find-the-nth-occurrence-of" sheetId="10" r:id="rId14"/>
    <sheet state="visible" name="r133gs-alt_find-the-nth-occurre" sheetId="11" r:id="rId15"/>
    <sheet state="visible" name="r187_look-up-the-last-matching-" sheetId="12" r:id="rId16"/>
    <sheet state="visible" name="r187gs-alt_look-up-the-last-mat" sheetId="13" r:id="rId17"/>
    <sheet state="visible" name="r188_lookup-two-criteria" sheetId="14" r:id="rId18"/>
    <sheet state="visible" name="r188gs-alt_lookup-two-criteria" sheetId="15" r:id="rId19"/>
    <sheet state="visible" name="r228_reverse-a-text-string" sheetId="16" r:id="rId20"/>
    <sheet state="visible" name="r228gs-alt_reverse-a-text-strin" sheetId="17" r:id="rId21"/>
    <sheet state="visible" name="r230_reverse-the-order-of-a-lis" sheetId="18" r:id="rId22"/>
    <sheet state="visible" name="r230gs-alt_reverse-the-order-of" sheetId="19" r:id="rId23"/>
    <sheet state="visible" name="r241_sort-a-range-with-a-formul" sheetId="20" r:id="rId24"/>
    <sheet state="visible" name="r241gs-alt_sort-a-range-with-a-" sheetId="21" r:id="rId25"/>
    <sheet state="visible" name="r243_split-text-into-rows" sheetId="22" r:id="rId26"/>
    <sheet state="visible" name="r243gs-alt_split-text-into-rows" sheetId="23" r:id="rId27"/>
    <sheet state="visible" name="r244_split-text-to-columns" sheetId="24" r:id="rId28"/>
    <sheet state="visible" name="r244gs-alt_split-text-to-column" sheetId="25" r:id="rId29"/>
    <sheet state="visible" name="r247_sum-a-column-ignoring-erro" sheetId="26" r:id="rId30"/>
    <sheet state="visible" name="r247gs-alt_sum-a-column-ignorin" sheetId="27" r:id="rId31"/>
    <sheet state="visible" name="r263_sum-with-multiple-criteria" sheetId="28" r:id="rId32"/>
    <sheet state="visible" name="r263v0c0_sum-with-multiple-crit" sheetId="29" r:id="rId33"/>
    <sheet state="visible" name="r263v0c1_sum-with-multiple-crit" sheetId="30" r:id="rId34"/>
    <sheet state="visible" name="r263v1c0_sum-with-multiple-crit" sheetId="31" r:id="rId35"/>
    <sheet state="visible" name="r263v1c1_sum-with-multiple-crit" sheetId="32" r:id="rId36"/>
    <sheet state="visible" name="r263v1c2_sum-with-multiple-crit" sheetId="33" r:id="rId37"/>
    <sheet state="visible" name="r263v1c0-gs-alt_sum-with-multip" sheetId="34" r:id="rId38"/>
    <sheet state="visible" name="r263v1c2-gs-alt_sum-with-multip" sheetId="35" r:id="rId39"/>
    <sheet state="visible" name="r263v2c0_sum-with-multiple-crit" sheetId="36" r:id="rId40"/>
    <sheet state="visible" name="r263v2c1_sum-with-multiple-crit" sheetId="37" r:id="rId41"/>
    <sheet state="visible" name="r263v2c2_sum-with-multiple-crit" sheetId="38" r:id="rId42"/>
    <sheet state="visible" name="r263v3c0_sum-with-multiple-crit" sheetId="39" r:id="rId43"/>
    <sheet state="visible" name="r263v3c1_sum-with-multiple-crit" sheetId="40" r:id="rId44"/>
    <sheet state="visible" name="r263v4c0_sum-with-multiple-crit" sheetId="41" r:id="rId45"/>
    <sheet state="visible" name="r263v4c1_sum-with-multiple-crit" sheetId="42" r:id="rId46"/>
    <sheet state="visible" name="r263v4c2_sum-with-multiple-crit" sheetId="43" r:id="rId47"/>
    <sheet state="visible" name="r263v4c3_sum-with-multiple-crit" sheetId="44" r:id="rId48"/>
    <sheet state="visible" name="r263v4c4_sum-with-multiple-crit" sheetId="45" r:id="rId49"/>
    <sheet state="visible" name="r266_sumif-with-or-criteria" sheetId="46" r:id="rId50"/>
    <sheet state="visible" name="r266gs-alt_sumif-with-or-criter" sheetId="47" r:id="rId51"/>
    <sheet state="visible" name="r267_text-after-last-delimiter" sheetId="48" r:id="rId52"/>
    <sheet state="visible" name="r267gs-alt_text-after-last-deli" sheetId="49" r:id="rId53"/>
  </sheets>
  <definedNames/>
  <calcPr/>
</workbook>
</file>

<file path=xl/sharedStrings.xml><?xml version="1.0" encoding="utf-8"?>
<sst xmlns="http://schemas.openxmlformats.org/spreadsheetml/2006/main" count="259" uniqueCount="24">
  <si>
    <t>Order #4092 (qty 15)</t>
  </si>
  <si>
    <t>apple</t>
  </si>
  <si>
    <t>banana</t>
  </si>
  <si>
    <t>cherry</t>
  </si>
  <si>
    <t>a-b-c-d</t>
  </si>
  <si>
    <t>North</t>
  </si>
  <si>
    <t>Q1</t>
  </si>
  <si>
    <t>Q2</t>
  </si>
  <si>
    <t>South</t>
  </si>
  <si>
    <t>Q3</t>
  </si>
  <si>
    <t>a,b,c</t>
  </si>
  <si>
    <t>Region</t>
  </si>
  <si>
    <t>Product</t>
  </si>
  <si>
    <t>Amount</t>
  </si>
  <si>
    <t>East</t>
  </si>
  <si>
    <t>Widget</t>
  </si>
  <si>
    <t>West</t>
  </si>
  <si>
    <t>Gadget</t>
  </si>
  <si>
    <t>Date</t>
  </si>
  <si>
    <t>Widget A</t>
  </si>
  <si>
    <t>Gadget B</t>
  </si>
  <si>
    <t>Widget C</t>
  </si>
  <si>
    <t>widget D</t>
  </si>
  <si>
    <t>report.final.xlsx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</si>
</sst>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f>NOW()</f>
        <v>46264.19338</v>
      </c>
    </row>
    <row r="2">
      <c r="A2" s="2">
        <f>1111+2222</f>
        <v>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>AGGREGATE(1,6,A2:A6)</f>
        <v>#NAME?</v>
      </c>
      <c r="Z1" s="2">
        <f>1111+2222</f>
        <v>3333</v>
      </c>
    </row>
    <row r="2">
      <c r="A2" s="2">
        <v>10.0</v>
      </c>
    </row>
    <row r="3">
      <c r="A3" s="2" t="str">
        <f>1/0</f>
        <v>#DIV/0!</v>
      </c>
    </row>
    <row r="4">
      <c r="A4" s="2">
        <v>20.0</v>
      </c>
    </row>
    <row r="5">
      <c r="A5" s="2" t="str">
        <f>NA()</f>
        <v>#N/A</v>
      </c>
    </row>
    <row r="6">
      <c r="A6" s="2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>
        <f>IFERROR(__xludf.DUMMYFUNCTION("AVERAGE(FILTER(A2:A6,ISNUMBER(A2:A6)))"),20.0)</f>
        <v>20</v>
      </c>
      <c r="Z1" s="2">
        <f>1111+2222</f>
        <v>3333</v>
      </c>
    </row>
    <row r="2">
      <c r="A2" s="2">
        <v>10.0</v>
      </c>
    </row>
    <row r="3">
      <c r="A3" s="2" t="str">
        <f>1/0</f>
        <v>#DIV/0!</v>
      </c>
    </row>
    <row r="4">
      <c r="A4" s="2">
        <v>20.0</v>
      </c>
    </row>
    <row r="5">
      <c r="A5" s="2" t="str">
        <f>NA()</f>
        <v>#N/A</v>
      </c>
    </row>
    <row r="6">
      <c r="A6" s="2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>
        <f t="array" ref="H1">AVERAGE(LARGE(A2:A6,{1,2,3}))</f>
        <v>95</v>
      </c>
      <c r="Z1" s="2">
        <f>1111+2222</f>
        <v>3333</v>
      </c>
    </row>
    <row r="2">
      <c r="A2" s="2">
        <v>60.0</v>
      </c>
    </row>
    <row r="3">
      <c r="A3" s="2">
        <v>90.0</v>
      </c>
    </row>
    <row r="4">
      <c r="A4" s="2">
        <v>70.0</v>
      </c>
    </row>
    <row r="5">
      <c r="A5" s="2">
        <v>85.0</v>
      </c>
    </row>
    <row r="6">
      <c r="A6" s="2">
        <v>95.0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>
        <f t="array" ref="H1">AVERAGE(LARGE(A2:A6,{1,2,3}))</f>
        <v>90</v>
      </c>
      <c r="Z1" s="2">
        <f>1111+2222</f>
        <v>3333</v>
      </c>
    </row>
    <row r="2">
      <c r="A2" s="2">
        <v>60.0</v>
      </c>
    </row>
    <row r="3">
      <c r="A3" s="2">
        <v>90.0</v>
      </c>
    </row>
    <row r="4">
      <c r="A4" s="2">
        <v>70.0</v>
      </c>
    </row>
    <row r="5">
      <c r="A5" s="2">
        <v>85.0</v>
      </c>
    </row>
    <row r="6">
      <c r="A6" s="2">
        <v>95.0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 t="array" ref="H1">TEXTJOIN("",TRUE,IFERROR(MID(A2,SEQUENCE(LEN(A2),1),1)*1,""))</f>
        <v/>
      </c>
      <c r="Z1" s="2">
        <f>1111+2222</f>
        <v>3333</v>
      </c>
    </row>
    <row r="2">
      <c r="A2" s="2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>IFERROR(__xludf.DUMMYFUNCTION("REGEXREPLACE(A2,""[^0-9]"","""")"),"409215")</f>
        <v>409215</v>
      </c>
      <c r="Z1" s="2">
        <f>1111+2222</f>
        <v>3333</v>
      </c>
    </row>
    <row r="2">
      <c r="A2" s="2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>LOOKUP(2,1/(A2:A100&lt;&gt;""),A2:A100)</f>
        <v>#N/A</v>
      </c>
      <c r="Z1" s="2">
        <f>1111+2222</f>
        <v>3333</v>
      </c>
    </row>
    <row r="2">
      <c r="A2" s="2" t="s">
        <v>1</v>
      </c>
    </row>
    <row r="3">
      <c r="A3" s="2" t="s">
        <v>2</v>
      </c>
    </row>
    <row r="5">
      <c r="A5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 t="array" ref="H1">LOOKUP(2,1/(A2:A100&lt;&gt;""),A2:A100)</f>
        <v>cherry</v>
      </c>
      <c r="Z1" s="2">
        <f>1111+2222</f>
        <v>3333</v>
      </c>
    </row>
    <row r="2">
      <c r="A2" s="2" t="s">
        <v>1</v>
      </c>
    </row>
    <row r="3">
      <c r="A3" s="2" t="s">
        <v>2</v>
      </c>
    </row>
    <row r="5">
      <c r="A5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>
        <f>FIND(CHAR(1),SUBSTITUTE("a-b-c-d","-",CHAR(1),3))</f>
        <v>1</v>
      </c>
      <c r="Z1" s="2">
        <f>1111+2222</f>
        <v>3333</v>
      </c>
    </row>
    <row r="2">
      <c r="A2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>
        <f>FIND("§",SUBSTITUTE(A2,"-","§",3))</f>
        <v>6</v>
      </c>
      <c r="Z1" s="2">
        <f>1111+2222</f>
        <v>3333</v>
      </c>
    </row>
    <row r="2">
      <c r="A2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>LOOKUP(2,1/(A2:A5=D2),B2:B5)</f>
        <v>#N/A</v>
      </c>
      <c r="Z1" s="2">
        <f>1111+2222</f>
        <v>3333</v>
      </c>
    </row>
    <row r="2">
      <c r="A2" s="2" t="s">
        <v>1</v>
      </c>
      <c r="B2" s="2">
        <v>10.0</v>
      </c>
      <c r="D2" s="2" t="s">
        <v>1</v>
      </c>
    </row>
    <row r="3">
      <c r="A3" s="2" t="s">
        <v>2</v>
      </c>
      <c r="B3" s="2">
        <v>20.0</v>
      </c>
    </row>
    <row r="4">
      <c r="A4" s="2" t="s">
        <v>1</v>
      </c>
      <c r="B4" s="2">
        <v>30.0</v>
      </c>
    </row>
    <row r="5">
      <c r="A5" s="2" t="s">
        <v>3</v>
      </c>
      <c r="B5" s="2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>
        <f t="array" ref="H1">_xlfn.XLOOKUP(D2,A2:A6,B2:B6,,0,-1)</f>
        <v>30</v>
      </c>
      <c r="Z1" s="2">
        <f>1111+2222</f>
        <v>3333</v>
      </c>
    </row>
    <row r="2">
      <c r="A2" s="2" t="s">
        <v>1</v>
      </c>
      <c r="B2" s="2">
        <v>10.0</v>
      </c>
      <c r="D2" s="2" t="s">
        <v>1</v>
      </c>
    </row>
    <row r="3">
      <c r="A3" s="2" t="s">
        <v>2</v>
      </c>
      <c r="B3" s="2">
        <v>20.0</v>
      </c>
    </row>
    <row r="4">
      <c r="A4" s="2" t="s">
        <v>1</v>
      </c>
      <c r="B4" s="2">
        <v>30.0</v>
      </c>
    </row>
    <row r="5">
      <c r="A5" s="2" t="s">
        <v>3</v>
      </c>
      <c r="B5" s="2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 t="array" ref="H1">_xlfn.XLOOKUP("North|Q2",A2:A6&amp;"|"&amp;B2:B6,C2:C6)</f>
        <v>#VALUE!</v>
      </c>
      <c r="Z1" s="2">
        <f>1111+2222</f>
        <v>3333</v>
      </c>
    </row>
    <row r="2">
      <c r="A2" s="2" t="s">
        <v>5</v>
      </c>
      <c r="B2" s="2" t="s">
        <v>6</v>
      </c>
      <c r="C2" s="2">
        <v>100.0</v>
      </c>
    </row>
    <row r="3">
      <c r="A3" s="2" t="s">
        <v>5</v>
      </c>
      <c r="B3" s="2" t="s">
        <v>7</v>
      </c>
      <c r="C3" s="2">
        <v>250.0</v>
      </c>
    </row>
    <row r="4">
      <c r="A4" s="2" t="s">
        <v>8</v>
      </c>
      <c r="B4" s="2" t="s">
        <v>7</v>
      </c>
      <c r="C4" s="2">
        <v>300.0</v>
      </c>
    </row>
    <row r="5">
      <c r="A5" s="2" t="s">
        <v>8</v>
      </c>
      <c r="B5" s="2" t="s">
        <v>6</v>
      </c>
      <c r="C5" s="2">
        <v>150.0</v>
      </c>
    </row>
    <row r="6">
      <c r="A6" s="2" t="s">
        <v>5</v>
      </c>
      <c r="B6" s="2" t="s">
        <v>9</v>
      </c>
      <c r="C6" s="2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>
        <f t="array" ref="H1">_xlfn.XLOOKUP("North|Q2",A2:A6&amp;"|"&amp;B2:B6,C2:C6)</f>
        <v>250</v>
      </c>
      <c r="Z1" s="2">
        <f>1111+2222</f>
        <v>3333</v>
      </c>
    </row>
    <row r="2">
      <c r="A2" s="2" t="s">
        <v>5</v>
      </c>
      <c r="B2" s="2" t="s">
        <v>6</v>
      </c>
      <c r="C2" s="2">
        <v>100.0</v>
      </c>
    </row>
    <row r="3">
      <c r="A3" s="2" t="s">
        <v>5</v>
      </c>
      <c r="B3" s="2" t="s">
        <v>7</v>
      </c>
      <c r="C3" s="2">
        <v>250.0</v>
      </c>
    </row>
    <row r="4">
      <c r="A4" s="2" t="s">
        <v>8</v>
      </c>
      <c r="B4" s="2" t="s">
        <v>7</v>
      </c>
      <c r="C4" s="2">
        <v>300.0</v>
      </c>
    </row>
    <row r="5">
      <c r="A5" s="2" t="s">
        <v>8</v>
      </c>
      <c r="B5" s="2" t="s">
        <v>6</v>
      </c>
      <c r="C5" s="2">
        <v>150.0</v>
      </c>
    </row>
    <row r="6">
      <c r="A6" s="2" t="s">
        <v>5</v>
      </c>
      <c r="B6" s="2" t="s">
        <v>9</v>
      </c>
      <c r="C6" s="2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 t="array" ref="H1">TEXTJOIN("",TRUE,MID("abc",SEQUENCE(LEN("abc"),1,LEN("abc"),-1),1))</f>
        <v>c</v>
      </c>
      <c r="Z1" s="2">
        <f>1111+2222</f>
        <v>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 t="array" ref="H1">TEXTJOIN("",TRUE,MID("abc",SEQUENCE(LEN("abc"),1,LEN("abc"),-1),1))</f>
        <v>cba</v>
      </c>
      <c r="Z1" s="2">
        <f>1111+2222</f>
        <v>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D1" s="2" t="str">
        <f t="array" ref="D1">SORTBY(A2:A4,ROW(A2:A4),-1)</f>
        <v>#NAME?</v>
      </c>
      <c r="Z1" s="2">
        <f>1111+2222</f>
        <v>3333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D1" s="2" t="str">
        <f t="array" ref="D1:D3">SORT(A2:A4,ROW(A2:A4),FALSE)</f>
        <v>cherry</v>
      </c>
      <c r="Z1" s="2">
        <f>1111+2222</f>
        <v>3333</v>
      </c>
    </row>
    <row r="2">
      <c r="A2" s="2" t="s">
        <v>1</v>
      </c>
      <c r="D2" s="2" t="s">
        <v>2</v>
      </c>
    </row>
    <row r="3">
      <c r="A3" s="2" t="s">
        <v>2</v>
      </c>
      <c r="D3" s="2" t="s">
        <v>1</v>
      </c>
    </row>
    <row r="4">
      <c r="A4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D1" s="2">
        <f t="array" ref="D1:D3">SORT(A2:A4,1,-1)</f>
        <v>10</v>
      </c>
      <c r="Z1" s="2">
        <f>1111+2222</f>
        <v>3333</v>
      </c>
    </row>
    <row r="2">
      <c r="A2" s="2">
        <v>20.0</v>
      </c>
      <c r="D2" s="2">
        <v>20.0</v>
      </c>
    </row>
    <row r="3">
      <c r="A3" s="2">
        <v>50.0</v>
      </c>
      <c r="D3" s="2">
        <v>50.0</v>
      </c>
    </row>
    <row r="4">
      <c r="A4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D1" s="2">
        <f t="array" ref="D1:D3">SORT(A2:A4,1,FALSE)</f>
        <v>50</v>
      </c>
      <c r="Z1" s="2">
        <f>1111+2222</f>
        <v>3333</v>
      </c>
    </row>
    <row r="2">
      <c r="A2" s="2">
        <v>20.0</v>
      </c>
      <c r="D2" s="2">
        <v>20.0</v>
      </c>
    </row>
    <row r="3">
      <c r="A3" s="2">
        <v>50.0</v>
      </c>
      <c r="D3" s="2">
        <v>10.0</v>
      </c>
    </row>
    <row r="4">
      <c r="A4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 t="array" ref="H1">TEXTSPLIT("a,b,c",,",")</f>
        <v>#NAME?</v>
      </c>
      <c r="Z1" s="2">
        <f>1111+2222</f>
        <v>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>IFERROR(__xludf.DUMMYFUNCTION("ARRAY_CONSTRAIN(ARRAYFORMULA(TRANSPOSE(SPLIT(""a,b,c"","",""))), 3, 1)"),"a")</f>
        <v>a</v>
      </c>
      <c r="Z1" s="2">
        <f>1111+2222</f>
        <v>3333</v>
      </c>
    </row>
    <row r="2">
      <c r="H2" s="2" t="str">
        <f>IFERROR(__xludf.DUMMYFUNCTION("""COMPUTED_VALUE"""),"b")</f>
        <v>b</v>
      </c>
    </row>
    <row r="3">
      <c r="H3" s="2" t="str">
        <f>IFERROR(__xludf.DUMMYFUNCTION("""COMPUTED_VALUE"""),"c")</f>
        <v>c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D1" s="2" t="str">
        <f t="array" ref="D1">TEXTSPLIT(A2,",")</f>
        <v>#NAME?</v>
      </c>
      <c r="Z1" s="2">
        <f>1111+2222</f>
        <v>3333</v>
      </c>
    </row>
    <row r="2">
      <c r="A2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D1" s="2" t="str">
        <f>IFERROR(__xludf.DUMMYFUNCTION("ARRAY_CONSTRAIN(ARRAYFORMULA(SPLIT(A2,"","")), 1, 3)"),"a")</f>
        <v>a</v>
      </c>
      <c r="E1" s="2" t="str">
        <f>IFERROR(__xludf.DUMMYFUNCTION("""COMPUTED_VALUE"""),"b")</f>
        <v>b</v>
      </c>
      <c r="F1" s="2" t="str">
        <f>IFERROR(__xludf.DUMMYFUNCTION("""COMPUTED_VALUE"""),"c")</f>
        <v>c</v>
      </c>
      <c r="Z1" s="2">
        <f>1111+2222</f>
        <v>3333</v>
      </c>
    </row>
    <row r="2">
      <c r="A2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>AGGREGATE(9,6,A2:A6)</f>
        <v>#NAME?</v>
      </c>
      <c r="Z1" s="2">
        <f>1111+2222</f>
        <v>3333</v>
      </c>
    </row>
    <row r="2">
      <c r="A2" s="2">
        <v>10.0</v>
      </c>
    </row>
    <row r="3">
      <c r="A3" s="2" t="str">
        <f>1/0</f>
        <v>#DIV/0!</v>
      </c>
    </row>
    <row r="4">
      <c r="A4" s="2">
        <v>20.0</v>
      </c>
    </row>
    <row r="5">
      <c r="A5" s="2" t="str">
        <f>NA()</f>
        <v>#N/A</v>
      </c>
    </row>
    <row r="6">
      <c r="A6" s="2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>
        <f>IFERROR(__xludf.DUMMYFUNCTION("SUM(FILTER(A2:A6,ISNUMBER(A2:A6)))"),60.0)</f>
        <v>60</v>
      </c>
      <c r="Z1" s="2">
        <f>1111+2222</f>
        <v>3333</v>
      </c>
    </row>
    <row r="2">
      <c r="A2" s="2">
        <v>10.0</v>
      </c>
    </row>
    <row r="3">
      <c r="A3" s="2" t="str">
        <f>1/0</f>
        <v>#DIV/0!</v>
      </c>
    </row>
    <row r="4">
      <c r="A4" s="2">
        <v>20.0</v>
      </c>
    </row>
    <row r="5">
      <c r="A5" s="2" t="str">
        <f>NA()</f>
        <v>#N/A</v>
      </c>
    </row>
    <row r="6">
      <c r="A6" s="2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>
        <f>SUMIFS(C2:C6,A2:A6,"East",B2:B6,"Widget")</f>
        <v>60</v>
      </c>
      <c r="Z1" s="2">
        <f>1111+2222</f>
        <v>3333</v>
      </c>
    </row>
    <row r="2">
      <c r="A2" s="2" t="s">
        <v>14</v>
      </c>
      <c r="B2" s="2" t="s">
        <v>15</v>
      </c>
      <c r="C2" s="2">
        <v>10.0</v>
      </c>
    </row>
    <row r="3">
      <c r="A3" s="2" t="s">
        <v>16</v>
      </c>
      <c r="B3" s="2" t="s">
        <v>15</v>
      </c>
      <c r="C3" s="2">
        <v>20.0</v>
      </c>
    </row>
    <row r="4">
      <c r="A4" s="2" t="s">
        <v>14</v>
      </c>
      <c r="B4" s="2" t="s">
        <v>17</v>
      </c>
      <c r="C4" s="2">
        <v>30.0</v>
      </c>
    </row>
    <row r="5">
      <c r="A5" s="2" t="s">
        <v>16</v>
      </c>
      <c r="B5" s="2" t="s">
        <v>17</v>
      </c>
      <c r="C5" s="2">
        <v>40.0</v>
      </c>
    </row>
    <row r="6">
      <c r="A6" s="2" t="s">
        <v>14</v>
      </c>
      <c r="B6" s="2" t="s">
        <v>15</v>
      </c>
      <c r="C6" s="2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11</v>
      </c>
      <c r="B1" s="2" t="s">
        <v>12</v>
      </c>
      <c r="C1" s="2" t="s">
        <v>13</v>
      </c>
      <c r="H1" s="2">
        <f>SUMIF(A2:A7,"North",C2:C7)</f>
        <v>165</v>
      </c>
      <c r="Z1" s="2">
        <f>1111+2222</f>
        <v>3333</v>
      </c>
    </row>
    <row r="2">
      <c r="A2" s="2" t="s">
        <v>5</v>
      </c>
      <c r="B2" s="2" t="s">
        <v>15</v>
      </c>
      <c r="C2" s="2">
        <v>100.0</v>
      </c>
    </row>
    <row r="3">
      <c r="A3" s="2" t="s">
        <v>5</v>
      </c>
      <c r="B3" s="2" t="s">
        <v>17</v>
      </c>
      <c r="C3" s="2">
        <v>40.0</v>
      </c>
    </row>
    <row r="4">
      <c r="A4" s="2" t="s">
        <v>8</v>
      </c>
      <c r="B4" s="2" t="s">
        <v>15</v>
      </c>
      <c r="C4" s="2">
        <v>60.0</v>
      </c>
    </row>
    <row r="5">
      <c r="A5" s="2" t="s">
        <v>5</v>
      </c>
      <c r="B5" s="2" t="s">
        <v>15</v>
      </c>
      <c r="C5" s="2">
        <v>25.0</v>
      </c>
    </row>
    <row r="6">
      <c r="A6" s="2" t="s">
        <v>8</v>
      </c>
      <c r="B6" s="2" t="s">
        <v>17</v>
      </c>
      <c r="C6" s="2">
        <v>80.0</v>
      </c>
    </row>
    <row r="7">
      <c r="A7" s="2" t="s">
        <v>14</v>
      </c>
      <c r="B7" s="2" t="s">
        <v>15</v>
      </c>
      <c r="C7" s="2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11</v>
      </c>
      <c r="B1" s="2" t="s">
        <v>12</v>
      </c>
      <c r="C1" s="2" t="s">
        <v>13</v>
      </c>
      <c r="H1" s="2">
        <f>SUMIFS(C2:C7,A2:A7,"North",B2:B7,"Widget")</f>
        <v>125</v>
      </c>
      <c r="Z1" s="2">
        <f>1111+2222</f>
        <v>3333</v>
      </c>
    </row>
    <row r="2">
      <c r="A2" s="2" t="s">
        <v>5</v>
      </c>
      <c r="B2" s="2" t="s">
        <v>15</v>
      </c>
      <c r="C2" s="2">
        <v>100.0</v>
      </c>
    </row>
    <row r="3">
      <c r="A3" s="2" t="s">
        <v>5</v>
      </c>
      <c r="B3" s="2" t="s">
        <v>17</v>
      </c>
      <c r="C3" s="2">
        <v>40.0</v>
      </c>
    </row>
    <row r="4">
      <c r="A4" s="2" t="s">
        <v>8</v>
      </c>
      <c r="B4" s="2" t="s">
        <v>15</v>
      </c>
      <c r="C4" s="2">
        <v>60.0</v>
      </c>
    </row>
    <row r="5">
      <c r="A5" s="2" t="s">
        <v>5</v>
      </c>
      <c r="B5" s="2" t="s">
        <v>15</v>
      </c>
      <c r="C5" s="2">
        <v>25.0</v>
      </c>
    </row>
    <row r="6">
      <c r="A6" s="2" t="s">
        <v>8</v>
      </c>
      <c r="B6" s="2" t="s">
        <v>17</v>
      </c>
      <c r="C6" s="2">
        <v>80.0</v>
      </c>
    </row>
    <row r="7">
      <c r="A7" s="2" t="s">
        <v>14</v>
      </c>
      <c r="B7" s="2" t="s">
        <v>15</v>
      </c>
      <c r="C7" s="2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11</v>
      </c>
      <c r="B1" s="2" t="s">
        <v>12</v>
      </c>
      <c r="C1" s="2" t="s">
        <v>13</v>
      </c>
      <c r="H1" s="2">
        <f t="array" ref="H1">SUM(SUMIFS(C2:C6,A2:A6,{"North","South"}))</f>
        <v>140</v>
      </c>
      <c r="Z1" s="2">
        <f>1111+2222</f>
        <v>3333</v>
      </c>
    </row>
    <row r="2">
      <c r="A2" s="2" t="s">
        <v>5</v>
      </c>
      <c r="B2" s="2" t="s">
        <v>15</v>
      </c>
      <c r="C2" s="2">
        <v>100.0</v>
      </c>
    </row>
    <row r="3">
      <c r="A3" s="2" t="s">
        <v>8</v>
      </c>
      <c r="B3" s="2" t="s">
        <v>15</v>
      </c>
      <c r="C3" s="2">
        <v>50.0</v>
      </c>
    </row>
    <row r="4">
      <c r="A4" s="2" t="s">
        <v>14</v>
      </c>
      <c r="B4" s="2" t="s">
        <v>15</v>
      </c>
      <c r="C4" s="2">
        <v>25.0</v>
      </c>
    </row>
    <row r="5">
      <c r="A5" s="2" t="s">
        <v>5</v>
      </c>
      <c r="B5" s="2" t="s">
        <v>17</v>
      </c>
      <c r="C5" s="2">
        <v>40.0</v>
      </c>
    </row>
    <row r="6">
      <c r="A6" s="2" t="s">
        <v>8</v>
      </c>
      <c r="B6" s="2" t="s">
        <v>17</v>
      </c>
      <c r="C6" s="2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11</v>
      </c>
      <c r="B1" s="2" t="s">
        <v>12</v>
      </c>
      <c r="C1" s="2" t="s">
        <v>13</v>
      </c>
      <c r="H1" s="2">
        <f>SUMPRODUCT((A2:A6="North")+(A2:A6="South"),C2:C6)</f>
        <v>220</v>
      </c>
      <c r="Z1" s="2">
        <f>1111+2222</f>
        <v>3333</v>
      </c>
    </row>
    <row r="2">
      <c r="A2" s="2" t="s">
        <v>5</v>
      </c>
      <c r="B2" s="2" t="s">
        <v>15</v>
      </c>
      <c r="C2" s="2">
        <v>100.0</v>
      </c>
    </row>
    <row r="3">
      <c r="A3" s="2" t="s">
        <v>8</v>
      </c>
      <c r="B3" s="2" t="s">
        <v>15</v>
      </c>
      <c r="C3" s="2">
        <v>50.0</v>
      </c>
    </row>
    <row r="4">
      <c r="A4" s="2" t="s">
        <v>14</v>
      </c>
      <c r="B4" s="2" t="s">
        <v>15</v>
      </c>
      <c r="C4" s="2">
        <v>25.0</v>
      </c>
    </row>
    <row r="5">
      <c r="A5" s="2" t="s">
        <v>5</v>
      </c>
      <c r="B5" s="2" t="s">
        <v>17</v>
      </c>
      <c r="C5" s="2">
        <v>40.0</v>
      </c>
    </row>
    <row r="6">
      <c r="A6" s="2" t="s">
        <v>8</v>
      </c>
      <c r="B6" s="2" t="s">
        <v>17</v>
      </c>
      <c r="C6" s="2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11</v>
      </c>
      <c r="B1" s="2" t="s">
        <v>12</v>
      </c>
      <c r="C1" s="2" t="s">
        <v>13</v>
      </c>
      <c r="H1" s="2">
        <f t="array" ref="H1">SUM(SUMIFS(C2:C6,A2:A6,{"North","South"},B2:B6,"Widget"))</f>
        <v>100</v>
      </c>
      <c r="Z1" s="2">
        <f>1111+2222</f>
        <v>3333</v>
      </c>
    </row>
    <row r="2">
      <c r="A2" s="2" t="s">
        <v>5</v>
      </c>
      <c r="B2" s="2" t="s">
        <v>15</v>
      </c>
      <c r="C2" s="2">
        <v>100.0</v>
      </c>
    </row>
    <row r="3">
      <c r="A3" s="2" t="s">
        <v>8</v>
      </c>
      <c r="B3" s="2" t="s">
        <v>15</v>
      </c>
      <c r="C3" s="2">
        <v>50.0</v>
      </c>
    </row>
    <row r="4">
      <c r="A4" s="2" t="s">
        <v>14</v>
      </c>
      <c r="B4" s="2" t="s">
        <v>15</v>
      </c>
      <c r="C4" s="2">
        <v>25.0</v>
      </c>
    </row>
    <row r="5">
      <c r="A5" s="2" t="s">
        <v>5</v>
      </c>
      <c r="B5" s="2" t="s">
        <v>17</v>
      </c>
      <c r="C5" s="2">
        <v>40.0</v>
      </c>
    </row>
    <row r="6">
      <c r="A6" s="2" t="s">
        <v>8</v>
      </c>
      <c r="B6" s="2" t="s">
        <v>17</v>
      </c>
      <c r="C6" s="2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11</v>
      </c>
      <c r="B1" s="2" t="s">
        <v>12</v>
      </c>
      <c r="C1" s="2" t="s">
        <v>13</v>
      </c>
      <c r="H1" s="2">
        <f t="array" ref="H1">SUM(SUMIFS(C2:C6,A2:A6,{"North","South"}))</f>
        <v>140</v>
      </c>
      <c r="Z1" s="2">
        <f>1111+2222</f>
        <v>3333</v>
      </c>
    </row>
    <row r="2">
      <c r="A2" s="2" t="s">
        <v>5</v>
      </c>
      <c r="B2" s="2" t="s">
        <v>15</v>
      </c>
      <c r="C2" s="2">
        <v>100.0</v>
      </c>
    </row>
    <row r="3">
      <c r="A3" s="2" t="s">
        <v>8</v>
      </c>
      <c r="B3" s="2" t="s">
        <v>15</v>
      </c>
      <c r="C3" s="2">
        <v>50.0</v>
      </c>
    </row>
    <row r="4">
      <c r="A4" s="2" t="s">
        <v>14</v>
      </c>
      <c r="B4" s="2" t="s">
        <v>15</v>
      </c>
      <c r="C4" s="2">
        <v>25.0</v>
      </c>
    </row>
    <row r="5">
      <c r="A5" s="2" t="s">
        <v>5</v>
      </c>
      <c r="B5" s="2" t="s">
        <v>17</v>
      </c>
      <c r="C5" s="2">
        <v>40.0</v>
      </c>
    </row>
    <row r="6">
      <c r="A6" s="2" t="s">
        <v>8</v>
      </c>
      <c r="B6" s="2" t="s">
        <v>17</v>
      </c>
      <c r="C6" s="2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11</v>
      </c>
      <c r="B1" s="2" t="s">
        <v>12</v>
      </c>
      <c r="C1" s="2" t="s">
        <v>13</v>
      </c>
      <c r="H1" s="2">
        <f t="array" ref="H1">SUM(SUMIFS(C2:C6,A2:A6,{"North","South"},B2:B6,"Widget"))</f>
        <v>100</v>
      </c>
      <c r="Z1" s="2">
        <f>1111+2222</f>
        <v>3333</v>
      </c>
    </row>
    <row r="2">
      <c r="A2" s="2" t="s">
        <v>5</v>
      </c>
      <c r="B2" s="2" t="s">
        <v>15</v>
      </c>
      <c r="C2" s="2">
        <v>100.0</v>
      </c>
    </row>
    <row r="3">
      <c r="A3" s="2" t="s">
        <v>8</v>
      </c>
      <c r="B3" s="2" t="s">
        <v>15</v>
      </c>
      <c r="C3" s="2">
        <v>50.0</v>
      </c>
    </row>
    <row r="4">
      <c r="A4" s="2" t="s">
        <v>14</v>
      </c>
      <c r="B4" s="2" t="s">
        <v>15</v>
      </c>
      <c r="C4" s="2">
        <v>25.0</v>
      </c>
    </row>
    <row r="5">
      <c r="A5" s="2" t="s">
        <v>5</v>
      </c>
      <c r="B5" s="2" t="s">
        <v>17</v>
      </c>
      <c r="C5" s="2">
        <v>40.0</v>
      </c>
    </row>
    <row r="6">
      <c r="A6" s="2" t="s">
        <v>8</v>
      </c>
      <c r="B6" s="2" t="s">
        <v>17</v>
      </c>
      <c r="C6" s="2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11</v>
      </c>
      <c r="B1" s="2" t="s">
        <v>6</v>
      </c>
      <c r="C1" s="2" t="s">
        <v>7</v>
      </c>
      <c r="D1" s="2" t="s">
        <v>9</v>
      </c>
      <c r="H1" s="2">
        <f>SUMPRODUCT((A2:A4="South")*(B1:D1="Q2")*B2:D4)</f>
        <v>50</v>
      </c>
      <c r="Z1" s="2">
        <f>1111+2222</f>
        <v>3333</v>
      </c>
    </row>
    <row r="2">
      <c r="A2" s="2" t="s">
        <v>5</v>
      </c>
      <c r="B2" s="2">
        <v>10.0</v>
      </c>
      <c r="C2" s="2">
        <v>20.0</v>
      </c>
      <c r="D2" s="2">
        <v>30.0</v>
      </c>
    </row>
    <row r="3">
      <c r="A3" s="2" t="s">
        <v>8</v>
      </c>
      <c r="B3" s="2">
        <v>40.0</v>
      </c>
      <c r="C3" s="2">
        <v>50.0</v>
      </c>
      <c r="D3" s="2">
        <v>60.0</v>
      </c>
    </row>
    <row r="4">
      <c r="A4" s="2" t="s">
        <v>14</v>
      </c>
      <c r="B4" s="2">
        <v>70.0</v>
      </c>
      <c r="C4" s="2">
        <v>80.0</v>
      </c>
      <c r="D4" s="2">
        <v>90.0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11</v>
      </c>
      <c r="B1" s="2" t="s">
        <v>6</v>
      </c>
      <c r="C1" s="2" t="s">
        <v>7</v>
      </c>
      <c r="D1" s="2" t="s">
        <v>9</v>
      </c>
      <c r="H1" s="2">
        <f>SUMPRODUCT((A2:A4="South")*((B1:D1="Q2")+(B1:D1="Q3"))*B2:D4)</f>
        <v>110</v>
      </c>
      <c r="Z1" s="2">
        <f>1111+2222</f>
        <v>3333</v>
      </c>
    </row>
    <row r="2">
      <c r="A2" s="2" t="s">
        <v>5</v>
      </c>
      <c r="B2" s="2">
        <v>10.0</v>
      </c>
      <c r="C2" s="2">
        <v>20.0</v>
      </c>
      <c r="D2" s="2">
        <v>30.0</v>
      </c>
    </row>
    <row r="3">
      <c r="A3" s="2" t="s">
        <v>8</v>
      </c>
      <c r="B3" s="2">
        <v>40.0</v>
      </c>
      <c r="C3" s="2">
        <v>50.0</v>
      </c>
      <c r="D3" s="2">
        <v>60.0</v>
      </c>
    </row>
    <row r="4">
      <c r="A4" s="2" t="s">
        <v>14</v>
      </c>
      <c r="B4" s="2">
        <v>70.0</v>
      </c>
      <c r="C4" s="2">
        <v>80.0</v>
      </c>
      <c r="D4" s="2">
        <v>90.0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11</v>
      </c>
      <c r="B1" s="2" t="s">
        <v>6</v>
      </c>
      <c r="C1" s="2" t="s">
        <v>7</v>
      </c>
      <c r="D1" s="2" t="s">
        <v>9</v>
      </c>
      <c r="H1" s="2">
        <f>SUMPRODUCT(((A2:A4="South")+(A2:A4="East"))*(B1:D1="Q2")*B2:D4)</f>
        <v>130</v>
      </c>
      <c r="Z1" s="2">
        <f>1111+2222</f>
        <v>3333</v>
      </c>
    </row>
    <row r="2">
      <c r="A2" s="2" t="s">
        <v>5</v>
      </c>
      <c r="B2" s="2">
        <v>10.0</v>
      </c>
      <c r="C2" s="2">
        <v>20.0</v>
      </c>
      <c r="D2" s="2">
        <v>30.0</v>
      </c>
    </row>
    <row r="3">
      <c r="A3" s="2" t="s">
        <v>8</v>
      </c>
      <c r="B3" s="2">
        <v>40.0</v>
      </c>
      <c r="C3" s="2">
        <v>50.0</v>
      </c>
      <c r="D3" s="2">
        <v>60.0</v>
      </c>
    </row>
    <row r="4">
      <c r="A4" s="2" t="s">
        <v>14</v>
      </c>
      <c r="B4" s="2">
        <v>70.0</v>
      </c>
      <c r="C4" s="2">
        <v>80.0</v>
      </c>
      <c r="D4" s="2">
        <v>90.0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18</v>
      </c>
      <c r="B1" s="2" t="s">
        <v>11</v>
      </c>
      <c r="C1" s="2" t="s">
        <v>13</v>
      </c>
      <c r="H1" s="2">
        <f>SUMIFS(C2:C6,A2:A6,"&gt;="&amp;DATE(2026,2,1))</f>
        <v>1240</v>
      </c>
      <c r="Z1" s="2">
        <f>1111+2222</f>
        <v>3333</v>
      </c>
    </row>
    <row r="2">
      <c r="A2" s="2">
        <v>46037.0</v>
      </c>
      <c r="B2" s="2" t="s">
        <v>5</v>
      </c>
      <c r="C2" s="2">
        <v>100.0</v>
      </c>
    </row>
    <row r="3">
      <c r="A3" s="2">
        <v>46073.0</v>
      </c>
      <c r="B3" s="2" t="s">
        <v>5</v>
      </c>
      <c r="C3" s="2">
        <v>250.0</v>
      </c>
    </row>
    <row r="4">
      <c r="A4" s="2">
        <v>46078.0</v>
      </c>
      <c r="B4" s="2" t="s">
        <v>8</v>
      </c>
      <c r="C4" s="2">
        <v>400.0</v>
      </c>
    </row>
    <row r="5">
      <c r="A5" s="2">
        <v>46091.0</v>
      </c>
      <c r="B5" s="2" t="s">
        <v>5</v>
      </c>
      <c r="C5" s="2">
        <v>90.0</v>
      </c>
    </row>
    <row r="6">
      <c r="A6" s="2">
        <v>46096.0</v>
      </c>
      <c r="B6" s="2" t="s">
        <v>5</v>
      </c>
      <c r="C6" s="2">
        <v>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18</v>
      </c>
      <c r="B1" s="2" t="s">
        <v>11</v>
      </c>
      <c r="C1" s="2" t="s">
        <v>13</v>
      </c>
      <c r="H1" s="2">
        <f>SUMIFS(C2:C6,B2:B6,"North",C2:C6,"&gt;=100",A2:A6,"&gt;="&amp;DATE(2026,2,1),A2:A6,"&lt;"&amp;DATE(2026,4,1))</f>
        <v>750</v>
      </c>
      <c r="Z1" s="2">
        <f>1111+2222</f>
        <v>3333</v>
      </c>
    </row>
    <row r="2">
      <c r="A2" s="2">
        <v>46037.0</v>
      </c>
      <c r="B2" s="2" t="s">
        <v>5</v>
      </c>
      <c r="C2" s="2">
        <v>100.0</v>
      </c>
    </row>
    <row r="3">
      <c r="A3" s="2">
        <v>46073.0</v>
      </c>
      <c r="B3" s="2" t="s">
        <v>5</v>
      </c>
      <c r="C3" s="2">
        <v>250.0</v>
      </c>
    </row>
    <row r="4">
      <c r="A4" s="2">
        <v>46078.0</v>
      </c>
      <c r="B4" s="2" t="s">
        <v>8</v>
      </c>
      <c r="C4" s="2">
        <v>400.0</v>
      </c>
    </row>
    <row r="5">
      <c r="A5" s="2">
        <v>46091.0</v>
      </c>
      <c r="B5" s="2" t="s">
        <v>5</v>
      </c>
      <c r="C5" s="2">
        <v>90.0</v>
      </c>
    </row>
    <row r="6">
      <c r="A6" s="2">
        <v>46096.0</v>
      </c>
      <c r="B6" s="2" t="s">
        <v>5</v>
      </c>
      <c r="C6" s="2">
        <v>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12</v>
      </c>
      <c r="B1" s="2" t="s">
        <v>11</v>
      </c>
      <c r="C1" s="2" t="s">
        <v>13</v>
      </c>
      <c r="H1" s="2">
        <f>SUMIFS(C2:C5,A2:A5,"Widget*")</f>
        <v>135</v>
      </c>
      <c r="Z1" s="2">
        <f>1111+2222</f>
        <v>3333</v>
      </c>
    </row>
    <row r="2">
      <c r="A2" s="2" t="s">
        <v>19</v>
      </c>
      <c r="B2" s="2" t="s">
        <v>5</v>
      </c>
      <c r="C2" s="2">
        <v>100.0</v>
      </c>
    </row>
    <row r="3">
      <c r="A3" s="2" t="s">
        <v>20</v>
      </c>
      <c r="B3" s="2" t="s">
        <v>5</v>
      </c>
      <c r="C3" s="2">
        <v>50.0</v>
      </c>
    </row>
    <row r="4">
      <c r="A4" s="2" t="s">
        <v>21</v>
      </c>
      <c r="B4" s="2" t="s">
        <v>8</v>
      </c>
      <c r="C4" s="2">
        <v>25.0</v>
      </c>
    </row>
    <row r="5">
      <c r="A5" s="2" t="s">
        <v>22</v>
      </c>
      <c r="B5" s="2" t="s">
        <v>5</v>
      </c>
      <c r="C5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12</v>
      </c>
      <c r="B1" s="2" t="s">
        <v>11</v>
      </c>
      <c r="C1" s="2" t="s">
        <v>13</v>
      </c>
      <c r="H1" s="2">
        <f>SUMIFS(C2:C5,A2:A5,"Widget*",B2:B5,"North")</f>
        <v>110</v>
      </c>
      <c r="Z1" s="2">
        <f>1111+2222</f>
        <v>3333</v>
      </c>
    </row>
    <row r="2">
      <c r="A2" s="2" t="s">
        <v>19</v>
      </c>
      <c r="B2" s="2" t="s">
        <v>5</v>
      </c>
      <c r="C2" s="2">
        <v>100.0</v>
      </c>
    </row>
    <row r="3">
      <c r="A3" s="2" t="s">
        <v>20</v>
      </c>
      <c r="B3" s="2" t="s">
        <v>5</v>
      </c>
      <c r="C3" s="2">
        <v>50.0</v>
      </c>
    </row>
    <row r="4">
      <c r="A4" s="2" t="s">
        <v>21</v>
      </c>
      <c r="B4" s="2" t="s">
        <v>8</v>
      </c>
      <c r="C4" s="2">
        <v>25.0</v>
      </c>
    </row>
    <row r="5">
      <c r="A5" s="2" t="s">
        <v>22</v>
      </c>
      <c r="B5" s="2" t="s">
        <v>5</v>
      </c>
      <c r="C5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12</v>
      </c>
      <c r="B1" s="2" t="s">
        <v>11</v>
      </c>
      <c r="C1" s="2" t="s">
        <v>13</v>
      </c>
      <c r="H1" s="2">
        <f>SUMIFS(C2:C5,A2:A5,"*get*")</f>
        <v>185</v>
      </c>
      <c r="Z1" s="2">
        <f>1111+2222</f>
        <v>3333</v>
      </c>
    </row>
    <row r="2">
      <c r="A2" s="2" t="s">
        <v>19</v>
      </c>
      <c r="B2" s="2" t="s">
        <v>5</v>
      </c>
      <c r="C2" s="2">
        <v>100.0</v>
      </c>
    </row>
    <row r="3">
      <c r="A3" s="2" t="s">
        <v>20</v>
      </c>
      <c r="B3" s="2" t="s">
        <v>5</v>
      </c>
      <c r="C3" s="2">
        <v>50.0</v>
      </c>
    </row>
    <row r="4">
      <c r="A4" s="2" t="s">
        <v>21</v>
      </c>
      <c r="B4" s="2" t="s">
        <v>8</v>
      </c>
      <c r="C4" s="2">
        <v>25.0</v>
      </c>
    </row>
    <row r="5">
      <c r="A5" s="2" t="s">
        <v>22</v>
      </c>
      <c r="B5" s="2" t="s">
        <v>5</v>
      </c>
      <c r="C5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12</v>
      </c>
      <c r="B1" s="2" t="s">
        <v>11</v>
      </c>
      <c r="C1" s="2" t="s">
        <v>13</v>
      </c>
      <c r="H1" s="2">
        <f>SUMIFS(C2:C5,A2:A5,"&lt;&gt;Widget A")</f>
        <v>85</v>
      </c>
      <c r="Z1" s="2">
        <f>1111+2222</f>
        <v>3333</v>
      </c>
    </row>
    <row r="2">
      <c r="A2" s="2" t="s">
        <v>19</v>
      </c>
      <c r="B2" s="2" t="s">
        <v>5</v>
      </c>
      <c r="C2" s="2">
        <v>100.0</v>
      </c>
    </row>
    <row r="3">
      <c r="A3" s="2" t="s">
        <v>20</v>
      </c>
      <c r="B3" s="2" t="s">
        <v>5</v>
      </c>
      <c r="C3" s="2">
        <v>50.0</v>
      </c>
    </row>
    <row r="4">
      <c r="A4" s="2" t="s">
        <v>21</v>
      </c>
      <c r="B4" s="2" t="s">
        <v>8</v>
      </c>
      <c r="C4" s="2">
        <v>25.0</v>
      </c>
    </row>
    <row r="5">
      <c r="A5" s="2" t="s">
        <v>22</v>
      </c>
      <c r="B5" s="2" t="s">
        <v>5</v>
      </c>
      <c r="C5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12</v>
      </c>
      <c r="B1" s="2" t="s">
        <v>11</v>
      </c>
      <c r="C1" s="2" t="s">
        <v>13</v>
      </c>
      <c r="H1" s="2">
        <f>IFERROR(__xludf.DUMMYFUNCTION("SUM(FILTER(C2:C5,(B2:B5=""North"")*(A2:A5&lt;&gt;""Gadget B"")))"),110.0)</f>
        <v>110</v>
      </c>
      <c r="Z1" s="2">
        <f>1111+2222</f>
        <v>3333</v>
      </c>
    </row>
    <row r="2">
      <c r="A2" s="2" t="s">
        <v>19</v>
      </c>
      <c r="B2" s="2" t="s">
        <v>5</v>
      </c>
      <c r="C2" s="2">
        <v>100.0</v>
      </c>
    </row>
    <row r="3">
      <c r="A3" s="2" t="s">
        <v>20</v>
      </c>
      <c r="B3" s="2" t="s">
        <v>5</v>
      </c>
      <c r="C3" s="2">
        <v>50.0</v>
      </c>
    </row>
    <row r="4">
      <c r="A4" s="2" t="s">
        <v>21</v>
      </c>
      <c r="B4" s="2" t="s">
        <v>8</v>
      </c>
      <c r="C4" s="2">
        <v>25.0</v>
      </c>
    </row>
    <row r="5">
      <c r="A5" s="2" t="s">
        <v>22</v>
      </c>
      <c r="B5" s="2" t="s">
        <v>5</v>
      </c>
      <c r="C5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>
        <f t="array" ref="H1">SUM(SUMIF(A2:A6,{"East","West"},B2:B6))</f>
        <v>110</v>
      </c>
      <c r="Z1" s="2">
        <f>1111+2222</f>
        <v>3333</v>
      </c>
    </row>
    <row r="2">
      <c r="A2" s="2" t="s">
        <v>14</v>
      </c>
      <c r="B2" s="2">
        <v>100.0</v>
      </c>
    </row>
    <row r="3">
      <c r="A3" s="2" t="s">
        <v>16</v>
      </c>
      <c r="B3" s="2">
        <v>50.0</v>
      </c>
    </row>
    <row r="4">
      <c r="A4" s="2" t="s">
        <v>5</v>
      </c>
      <c r="B4" s="2">
        <v>25.0</v>
      </c>
    </row>
    <row r="5">
      <c r="A5" s="2" t="s">
        <v>14</v>
      </c>
      <c r="B5" s="2">
        <v>10.0</v>
      </c>
    </row>
    <row r="6">
      <c r="A6" s="2" t="s">
        <v>8</v>
      </c>
      <c r="B6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>
        <f>SUMPRODUCT((A2:A6="East")+(A2:A6="West"),B2:B6)</f>
        <v>160</v>
      </c>
      <c r="Z1" s="2">
        <f>1111+2222</f>
        <v>3333</v>
      </c>
    </row>
    <row r="2">
      <c r="A2" s="2" t="s">
        <v>14</v>
      </c>
      <c r="B2" s="2">
        <v>100.0</v>
      </c>
    </row>
    <row r="3">
      <c r="A3" s="2" t="s">
        <v>16</v>
      </c>
      <c r="B3" s="2">
        <v>50.0</v>
      </c>
    </row>
    <row r="4">
      <c r="A4" s="2" t="s">
        <v>5</v>
      </c>
      <c r="B4" s="2">
        <v>25.0</v>
      </c>
    </row>
    <row r="5">
      <c r="A5" s="2" t="s">
        <v>14</v>
      </c>
      <c r="B5" s="2">
        <v>10.0</v>
      </c>
    </row>
    <row r="6">
      <c r="A6" s="2" t="s">
        <v>8</v>
      </c>
      <c r="B6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>TEXTAFTER(A2,".",-1)</f>
        <v>#NAME?</v>
      </c>
      <c r="Z1" s="2">
        <f>1111+2222</f>
        <v>3333</v>
      </c>
    </row>
    <row r="2">
      <c r="A2" s="2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H1" s="2" t="str">
        <f>IFERROR(__xludf.DUMMYFUNCTION("REGEXEXTRACT(A2,""[^.]+$"")"),"xlsx")</f>
        <v>xlsx</v>
      </c>
      <c r="Z1" s="2">
        <f>1111+2222</f>
        <v>3333</v>
      </c>
    </row>
    <row r="2">
      <c r="A2" s="2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