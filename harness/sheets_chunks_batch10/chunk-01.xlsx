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ADD_documented_sample_literals" sheetId="2" state="visible" r:id="rId2"/>
    <sheet xmlns:r="http://schemas.openxmlformats.org/officeDocument/2006/relationships" name="ADD_documented_sample_cell_refs" sheetId="3" state="visible" r:id="rId3"/>
    <sheet xmlns:r="http://schemas.openxmlformats.org/officeDocument/2006/relationships" name="ADD_equals_plus_operator" sheetId="4" state="visible" r:id="rId4"/>
    <sheet xmlns:r="http://schemas.openxmlformats.org/officeDocument/2006/relationships" name="ADD_negative_and_fractional" sheetId="5" state="visible" r:id="rId5"/>
    <sheet xmlns:r="http://schemas.openxmlformats.org/officeDocument/2006/relationships" name="ADD_is_not_SUM_but_agrees_on_tw" sheetId="6" state="visible" r:id="rId6"/>
    <sheet xmlns:r="http://schemas.openxmlformats.org/officeDocument/2006/relationships" name="ARRAYFORMULA_documented_sample_" sheetId="7" state="visible" r:id="rId7"/>
    <sheet xmlns:r="http://schemas.openxmlformats.org/officeDocument/2006/relationships" name="ARRAYFORMULA_documented_sampl~2" sheetId="8" state="visible" r:id="rId8"/>
    <sheet xmlns:r="http://schemas.openxmlformats.org/officeDocument/2006/relationships" name="ARRAYFORMULA_scalar_expression_" sheetId="9" state="visible" r:id="rId9"/>
    <sheet xmlns:r="http://schemas.openxmlformats.org/officeDocument/2006/relationships" name="ARRAYFORMULA_lifts_a_scalar_tex" sheetId="10" state="visible" r:id="rId10"/>
    <sheet xmlns:r="http://schemas.openxmlformats.org/officeDocument/2006/relationships" name="ARRAY_CONSTRAIN_documented_samp" sheetId="11" state="visible" r:id="rId11"/>
    <sheet xmlns:r="http://schemas.openxmlformats.org/officeDocument/2006/relationships" name="ARRAY_CONSTRAIN_single_column" sheetId="12" state="visible" r:id="rId12"/>
    <sheet xmlns:r="http://schemas.openxmlformats.org/officeDocument/2006/relationships" name="ARRAY_CONSTRAIN_down_to_one_cel" sheetId="13" state="visible" r:id="rId13"/>
    <sheet xmlns:r="http://schemas.openxmlformats.org/officeDocument/2006/relationships" name="ARRAY_CONSTRAIN_over_a_sorted_a" sheetId="14" state="visible" r:id="rId14"/>
    <sheet xmlns:r="http://schemas.openxmlformats.org/officeDocument/2006/relationships" name="AVERAGE.WEIGHTED_published_two_" sheetId="15" state="visible" r:id="rId15"/>
    <sheet xmlns:r="http://schemas.openxmlformats.org/officeDocument/2006/relationships" name="AVERAGE.WEIGHTED_published_inli" sheetId="16" state="visible" r:id="rId16"/>
    <sheet xmlns:r="http://schemas.openxmlformats.org/officeDocument/2006/relationships" name="AVERAGE.WEIGHTED_published_row_" sheetId="17" state="visible" r:id="rId17"/>
    <sheet xmlns:r="http://schemas.openxmlformats.org/officeDocument/2006/relationships" name="AVERAGE.WEIGHTED_published_cour" sheetId="18" state="visible" r:id="rId18"/>
    <sheet xmlns:r="http://schemas.openxmlformats.org/officeDocument/2006/relationships" name="AVERAGE.WEIGHTED_zero_weight_is" sheetId="19" state="visible" r:id="rId19"/>
    <sheet xmlns:r="http://schemas.openxmlformats.org/officeDocument/2006/relationships" name="COUNTUNIQUE_documented_sample_i" sheetId="20" state="visible" r:id="rId20"/>
    <sheet xmlns:r="http://schemas.openxmlformats.org/officeDocument/2006/relationships" name="COUNTUNIQUE_range_with_repeats" sheetId="21" state="visible" r:id="rId21"/>
    <sheet xmlns:r="http://schemas.openxmlformats.org/officeDocument/2006/relationships" name="COUNTUNIQUE_documented_sample_v" sheetId="22" state="visible" r:id="rId22"/>
    <sheet xmlns:r="http://schemas.openxmlformats.org/officeDocument/2006/relationships" name="COUNTUNIQUE_more_than_thirty_ar" sheetId="23" state="visible" r:id="rId23"/>
    <sheet xmlns:r="http://schemas.openxmlformats.org/officeDocument/2006/relationships" name="DIVIDE_documented_sample_litera" sheetId="24" state="visible" r:id="rId24"/>
    <sheet xmlns:r="http://schemas.openxmlformats.org/officeDocument/2006/relationships" name="DIVIDE_documented_sample_cell_r" sheetId="25" state="visible" r:id="rId25"/>
    <sheet xmlns:r="http://schemas.openxmlformats.org/officeDocument/2006/relationships" name="DIVIDE_equals_slash_operator" sheetId="26" state="visible" r:id="rId26"/>
    <sheet xmlns:r="http://schemas.openxmlformats.org/officeDocument/2006/relationships" name="DIVIDE_is_NOT_equivalent_to_QUO" sheetId="27" state="visible" r:id="rId27"/>
    <sheet xmlns:r="http://schemas.openxmlformats.org/officeDocument/2006/relationships" name="DIVIDE_non_terminating_quotient" sheetId="28" state="visible" r:id="rId28"/>
    <sheet xmlns:r="http://schemas.openxmlformats.org/officeDocument/2006/relationships" name="EPOCHTODATE_published_seconds" sheetId="29" state="visible" r:id="rId29"/>
    <sheet xmlns:r="http://schemas.openxmlformats.org/officeDocument/2006/relationships" name="EPOCHTODATE_published_default_u" sheetId="30" state="visible" r:id="rId30"/>
    <sheet xmlns:r="http://schemas.openxmlformats.org/officeDocument/2006/relationships" name="EPOCHTODATE_published_zero_is_t" sheetId="31" state="visible" r:id="rId31"/>
    <sheet xmlns:r="http://schemas.openxmlformats.org/officeDocument/2006/relationships" name="EPOCHTODATE_epoch_serial_is_255" sheetId="32" state="visible" r:id="rId32"/>
    <sheet xmlns:r="http://schemas.openxmlformats.org/officeDocument/2006/relationships" name="EPOCHTODATE_published_milliseco" sheetId="33" state="visible" r:id="rId33"/>
    <sheet xmlns:r="http://schemas.openxmlformats.org/officeDocument/2006/relationships" name="EPOCHTODATE_published_microseco" sheetId="34" state="visible" r:id="rId34"/>
    <sheet xmlns:r="http://schemas.openxmlformats.org/officeDocument/2006/relationships" name="EQ_documented_sample_literals" sheetId="35" state="visible" r:id="rId35"/>
    <sheet xmlns:r="http://schemas.openxmlformats.org/officeDocument/2006/relationships" name="EQ_documented_sample_cell_refs" sheetId="36" state="visible" r:id="rId36"/>
    <sheet xmlns:r="http://schemas.openxmlformats.org/officeDocument/2006/relationships" name="EQ_equal_arguments" sheetId="37" state="visible" r:id="rId37"/>
    <sheet xmlns:r="http://schemas.openxmlformats.org/officeDocument/2006/relationships" name="EQ_agrees_with_its_operator_on_" sheetId="38" state="visible" r:id="rId38"/>
    <sheet xmlns:r="http://schemas.openxmlformats.org/officeDocument/2006/relationships" name="FLATTEN_published_example_with_" sheetId="39" state="visible" r:id="rId39"/>
    <sheet xmlns:r="http://schemas.openxmlformats.org/officeDocument/2006/relationships" name="FLATTEN_row_major_within_one_ra" sheetId="40" state="visible" r:id="rId40"/>
    <sheet xmlns:r="http://schemas.openxmlformats.org/officeDocument/2006/relationships" name="FLATTEN_ordered_by_argument_bef" sheetId="41" state="visible" r:id="rId41"/>
    <sheet xmlns:r="http://schemas.openxmlformats.org/officeDocument/2006/relationships" name="FLATTEN_empty_cells_are_not_ski" sheetId="42" state="visible" r:id="rId42"/>
    <sheet xmlns:r="http://schemas.openxmlformats.org/officeDocument/2006/relationships" name="GT_documented_sample_literals" sheetId="43" state="visible" r:id="rId43"/>
    <sheet xmlns:r="http://schemas.openxmlformats.org/officeDocument/2006/relationships" name="GT_documented_sample_cell_refs" sheetId="44" state="visible" r:id="rId44"/>
    <sheet xmlns:r="http://schemas.openxmlformats.org/officeDocument/2006/relationships" name="GT_equal_arguments" sheetId="45" state="visible" r:id="rId45"/>
    <sheet xmlns:r="http://schemas.openxmlformats.org/officeDocument/2006/relationships" name="GT_agrees_with_its_operator_on_" sheetId="46" state="visible" r:id="rId46"/>
    <sheet xmlns:r="http://schemas.openxmlformats.org/officeDocument/2006/relationships" name="GTE_documented_sample_literals" sheetId="47" state="visible" r:id="rId47"/>
    <sheet xmlns:r="http://schemas.openxmlformats.org/officeDocument/2006/relationships" name="GTE_documented_sample_cell_refs" sheetId="48" state="visible" r:id="rId48"/>
    <sheet xmlns:r="http://schemas.openxmlformats.org/officeDocument/2006/relationships" name="GTE_equal_arguments" sheetId="49" state="visible" r:id="rId49"/>
    <sheet xmlns:r="http://schemas.openxmlformats.org/officeDocument/2006/relationships" name="GTE_agrees_with_its_operator_on" sheetId="50" state="visible" r:id="rId50"/>
    <sheet xmlns:r="http://schemas.openxmlformats.org/officeDocument/2006/relationships" name="IMCOTH_published_complex_string" sheetId="51" state="visible" r:id="rId51"/>
    <sheet xmlns:r="http://schemas.openxmlformats.org/officeDocument/2006/relationships" name="IMCOTH_published_real_argument" sheetId="52" state="visible" r:id="rId52"/>
    <sheet xmlns:r="http://schemas.openxmlformats.org/officeDocument/2006/relationships" name="IMCOTH_published_real_part_of_s" sheetId="53" state="visible" r:id="rId53"/>
    <sheet xmlns:r="http://schemas.openxmlformats.org/officeDocument/2006/relationships" name="IMCOTH_published_imaginary_part" sheetId="54" state="visible" r:id="rId54"/>
    <sheet xmlns:r="http://schemas.openxmlformats.org/officeDocument/2006/relationships" name="IMCOTH_is_the_reciprocal_of_IMT" sheetId="55" state="visible" r:id="rId55"/>
    <sheet xmlns:r="http://schemas.openxmlformats.org/officeDocument/2006/relationships" name="IMLOG_published_real_log_base_1" sheetId="56" state="visible" r:id="rId56"/>
    <sheet xmlns:r="http://schemas.openxmlformats.org/officeDocument/2006/relationships" name="IMLOG_published_complex_string" sheetId="57" state="visible" r:id="rId57"/>
    <sheet xmlns:r="http://schemas.openxmlformats.org/officeDocument/2006/relationships" name="IMLOG_published_real_part_base_" sheetId="58" state="visible" r:id="rId58"/>
    <sheet xmlns:r="http://schemas.openxmlformats.org/officeDocument/2006/relationships" name="IMLOG_published_imaginary_part_" sheetId="59" state="visible" r:id="rId59"/>
    <sheet xmlns:r="http://schemas.openxmlformats.org/officeDocument/2006/relationships" name="IMLOG_equals_LOG_on_positive_re" sheetId="60" state="visible" r:id="rId60"/>
    <sheet xmlns:r="http://schemas.openxmlformats.org/officeDocument/2006/relationships" name="IMLOG_base_2_equals_IMLOG2" sheetId="61" state="visible" r:id="rId61"/>
    <sheet xmlns:r="http://schemas.openxmlformats.org/officeDocument/2006/relationships" name="IMTANH_published_complex_string" sheetId="62" state="visible" r:id="rId62"/>
    <sheet xmlns:r="http://schemas.openxmlformats.org/officeDocument/2006/relationships" name="IMTANH_published_real_argument" sheetId="63" state="visible" r:id="rId63"/>
    <sheet xmlns:r="http://schemas.openxmlformats.org/officeDocument/2006/relationships" name="IMTANH_published_real_part_of_s" sheetId="64" state="visible" r:id="rId64"/>
    <sheet xmlns:r="http://schemas.openxmlformats.org/officeDocument/2006/relationships" name="IMTANH_published_imaginary_part" sheetId="65" state="visible" r:id="rId65"/>
    <sheet xmlns:r="http://schemas.openxmlformats.org/officeDocument/2006/relationships" name="ISBETWEEN_published_strictly_in" sheetId="66" state="visible" r:id="rId66"/>
    <sheet xmlns:r="http://schemas.openxmlformats.org/officeDocument/2006/relationships" name="ISBETWEEN_published_lower_bound" sheetId="67" state="visible" r:id="rId67"/>
    <sheet xmlns:r="http://schemas.openxmlformats.org/officeDocument/2006/relationships" name="ISBETWEEN_published_lower_bou~2" sheetId="68" state="visible" r:id="rId68"/>
    <sheet xmlns:r="http://schemas.openxmlformats.org/officeDocument/2006/relationships" name="ISBETWEEN_published_upper_bound" sheetId="69" state="visible" r:id="rId69"/>
    <sheet xmlns:r="http://schemas.openxmlformats.org/officeDocument/2006/relationships" name="ISBETWEEN_published_upper_bou~2" sheetId="70" state="visible" r:id="rId70"/>
    <sheet xmlns:r="http://schemas.openxmlformats.org/officeDocument/2006/relationships" name="ISBETWEEN_published_both_flags_" sheetId="71" state="visible" r:id="rId71"/>
    <sheet xmlns:r="http://schemas.openxmlformats.org/officeDocument/2006/relationships" name="ISDATE_published_full_date_text" sheetId="72" state="visible" r:id="rId72"/>
    <sheet xmlns:r="http://schemas.openxmlformats.org/officeDocument/2006/relationships" name="ISDATE_published_month_20_strin" sheetId="73" state="visible" r:id="rId73"/>
    <sheet xmlns:r="http://schemas.openxmlformats.org/officeDocument/2006/relationships" name="ISDATE_published_month_name_alo" sheetId="74" state="visible" r:id="rId74"/>
    <sheet xmlns:r="http://schemas.openxmlformats.org/officeDocument/2006/relationships" name="ISDATE_published_impossible_cal" sheetId="75" state="visible" r:id="rId75"/>
    <sheet xmlns:r="http://schemas.openxmlformats.org/officeDocument/2006/relationships" name="ISEMAIL_documented_sample_googl" sheetId="76" state="visible" r:id="rId76"/>
    <sheet xmlns:r="http://schemas.openxmlformats.org/officeDocument/2006/relationships" name="ISEMAIL_documented_sample_com_a" sheetId="77" state="visible" r:id="rId77"/>
    <sheet xmlns:r="http://schemas.openxmlformats.org/officeDocument/2006/relationships" name="ISEMAIL_documented_sample_xyz_t" sheetId="78" state="visible" r:id="rId78"/>
    <sheet xmlns:r="http://schemas.openxmlformats.org/officeDocument/2006/relationships" name="ISEMAIL_string_with_no_at_sign" sheetId="79" state="visible" r:id="rId79"/>
    <sheet xmlns:r="http://schemas.openxmlformats.org/officeDocument/2006/relationships" name="ISURL_documented_sample_fully_q" sheetId="80" state="visible" r:id="rId80"/>
    <sheet xmlns:r="http://schemas.openxmlformats.org/officeDocument/2006/relationships" name="ISURL_documented_sample_no_sche" sheetId="81" state="visible" r:id="rId81"/>
    <sheet xmlns:r="http://schemas.openxmlformats.org/officeDocument/2006/relationships" name="ISURL_documented_sample_bare_do" sheetId="82" state="visible" r:id="rId82"/>
    <sheet xmlns:r="http://schemas.openxmlformats.org/officeDocument/2006/relationships" name="ISURL_documented_sample_uncommo" sheetId="83" state="visible" r:id="rId83"/>
    <sheet xmlns:r="http://schemas.openxmlformats.org/officeDocument/2006/relationships" name="ISURL_documented_protocol_mailt" sheetId="84" state="visible" r:id="rId84"/>
    <sheet xmlns:r="http://schemas.openxmlformats.org/officeDocument/2006/relationships" name="ISURL_plain_words_are_not_a_url" sheetId="85" state="visible" r:id="rId85"/>
    <sheet xmlns:r="http://schemas.openxmlformats.org/officeDocument/2006/relationships" name="JOIN_documented_sample_multiwor" sheetId="86" state="visible" r:id="rId86"/>
    <sheet xmlns:r="http://schemas.openxmlformats.org/officeDocument/2006/relationships" name="JOIN_documented_sample_two_arra" sheetId="87" state="visible" r:id="rId87"/>
    <sheet xmlns:r="http://schemas.openxmlformats.org/officeDocument/2006/relationships" name="JOIN_over_a_range" sheetId="88" state="visible" r:id="rId88"/>
    <sheet xmlns:r="http://schemas.openxmlformats.org/officeDocument/2006/relationships" name="JOIN_blank_delimiter" sheetId="89" state="visible" r:id="rId89"/>
    <sheet xmlns:r="http://schemas.openxmlformats.org/officeDocument/2006/relationships" name="JOIN_two_ranges_in_argument_ord" sheetId="90" state="visible" r:id="rId90"/>
    <sheet xmlns:r="http://schemas.openxmlformats.org/officeDocument/2006/relationships" name="LT_documented_sample_literals" sheetId="91" state="visible" r:id="rId91"/>
    <sheet xmlns:r="http://schemas.openxmlformats.org/officeDocument/2006/relationships" name="LT_documented_sample_cell_refs" sheetId="92" state="visible" r:id="rId92"/>
    <sheet xmlns:r="http://schemas.openxmlformats.org/officeDocument/2006/relationships" name="LT_equal_arguments" sheetId="93" state="visible" r:id="rId93"/>
    <sheet xmlns:r="http://schemas.openxmlformats.org/officeDocument/2006/relationships" name="LT_agrees_with_its_operator_on_" sheetId="94" state="visible" r:id="rId94"/>
    <sheet xmlns:r="http://schemas.openxmlformats.org/officeDocument/2006/relationships" name="LTE_documented_sample_literals" sheetId="95" state="visible" r:id="rId95"/>
    <sheet xmlns:r="http://schemas.openxmlformats.org/officeDocument/2006/relationships" name="LTE_documented_sample_cell_refs" sheetId="96" state="visible" r:id="rId96"/>
    <sheet xmlns:r="http://schemas.openxmlformats.org/officeDocument/2006/relationships" name="LTE_equal_arguments" sheetId="97" state="visible" r:id="rId97"/>
    <sheet xmlns:r="http://schemas.openxmlformats.org/officeDocument/2006/relationships" name="LTE_agrees_with_its_operator_on" sheetId="98" state="visible" r:id="rId98"/>
    <sheet xmlns:r="http://schemas.openxmlformats.org/officeDocument/2006/relationships" name="MARGINOFERROR_published_95_perc" sheetId="99" state="visible" r:id="rId99"/>
    <sheet xmlns:r="http://schemas.openxmlformats.org/officeDocument/2006/relationships" name="MARGINOFERROR_full_precision_95" sheetId="100" state="visible" r:id="rId100"/>
    <sheet xmlns:r="http://schemas.openxmlformats.org/officeDocument/2006/relationships" name="MARGINOFERROR_equals_CONFIDENCE" sheetId="101" state="visible" r:id="rId101"/>
    <sheet xmlns:r="http://schemas.openxmlformats.org/officeDocument/2006/relationships" name="MARGINOFERROR_published_lower_b" sheetId="102" state="visible" r:id="rId102"/>
    <sheet xmlns:r="http://schemas.openxmlformats.org/officeDocument/2006/relationships" name="MARGINOFERROR_99_percent_is_wid" sheetId="103" state="visible" r:id="rId103"/>
    <sheet xmlns:r="http://schemas.openxmlformats.org/officeDocument/2006/relationships" name="MINUS_documented_sample_literal" sheetId="104" state="visible" r:id="rId104"/>
    <sheet xmlns:r="http://schemas.openxmlformats.org/officeDocument/2006/relationships" name="MINUS_documented_sample_cell_re" sheetId="105" state="visible" r:id="rId105"/>
    <sheet xmlns:r="http://schemas.openxmlformats.org/officeDocument/2006/relationships" name="MINUS_equals_dash_operator" sheetId="106" state="visible" r:id="rId106"/>
    <sheet xmlns:r="http://schemas.openxmlformats.org/officeDocument/2006/relationships" name="MINUS_antisymmetric_in_its_argu" sheetId="107" state="visible" r:id="rId107"/>
    <sheet xmlns:r="http://schemas.openxmlformats.org/officeDocument/2006/relationships" name="MULTIPLY_documented_sample_lite" sheetId="108" state="visible" r:id="rId108"/>
    <sheet xmlns:r="http://schemas.openxmlformats.org/officeDocument/2006/relationships" name="MULTIPLY_documented_sample_cell" sheetId="109" state="visible" r:id="rId109"/>
    <sheet xmlns:r="http://schemas.openxmlformats.org/officeDocument/2006/relationships" name="MULTIPLY_equals_star_operator" sheetId="110" state="visible" r:id="rId110"/>
    <sheet xmlns:r="http://schemas.openxmlformats.org/officeDocument/2006/relationships" name="MULTIPLY_agrees_with_PRODUCT_on" sheetId="111" state="visible" r:id="rId111"/>
    <sheet xmlns:r="http://schemas.openxmlformats.org/officeDocument/2006/relationships" name="NE_documented_sample_literals" sheetId="112" state="visible" r:id="rId112"/>
    <sheet xmlns:r="http://schemas.openxmlformats.org/officeDocument/2006/relationships" name="NE_documented_sample_cell_refs" sheetId="113" state="visible" r:id="rId113"/>
    <sheet xmlns:r="http://schemas.openxmlformats.org/officeDocument/2006/relationships" name="NE_equal_arguments" sheetId="114" state="visible" r:id="rId114"/>
    <sheet xmlns:r="http://schemas.openxmlformats.org/officeDocument/2006/relationships" name="NE_agrees_with_its_operator_on_" sheetId="115" state="visible" r:id="rId115"/>
    <sheet xmlns:r="http://schemas.openxmlformats.org/officeDocument/2006/relationships" name="POW_documented_sample_fractiona" sheetId="116" state="visible" r:id="rId116"/>
    <sheet xmlns:r="http://schemas.openxmlformats.org/officeDocument/2006/relationships" name="POW_documented_sample_integer_e" sheetId="117" state="visible" r:id="rId117"/>
    <sheet xmlns:r="http://schemas.openxmlformats.org/officeDocument/2006/relationships" name="POW_documented_sample_cell_refs" sheetId="118" state="visible" r:id="rId118"/>
    <sheet xmlns:r="http://schemas.openxmlformats.org/officeDocument/2006/relationships" name="POW_equals_POWER" sheetId="119" state="visible" r:id="rId119"/>
    <sheet xmlns:r="http://schemas.openxmlformats.org/officeDocument/2006/relationships" name="POW_negative_base_integer_expon" sheetId="120" state="visible" r:id="rId120"/>
    <sheet xmlns:r="http://schemas.openxmlformats.org/officeDocument/2006/relationships" name="QUERY_select_where_numeric_comp" sheetId="121" state="visible" r:id="rId121"/>
    <sheet xmlns:r="http://schemas.openxmlformats.org/officeDocument/2006/relationships" name="QUERY_select_names_columns_and_" sheetId="122" state="visible" r:id="rId122"/>
    <sheet xmlns:r="http://schemas.openxmlformats.org/officeDocument/2006/relationships" name="QUERY_where_string_literal_is_c" sheetId="123" state="visible" r:id="rId123"/>
    <sheet xmlns:r="http://schemas.openxmlformats.org/officeDocument/2006/relationships" name="QUERY_lower_scalar_function_wor" sheetId="124" state="visible" r:id="rId124"/>
    <sheet xmlns:r="http://schemas.openxmlformats.org/officeDocument/2006/relationships" name="QUERY_aggregate_max_grouped_by_" sheetId="125" state="visible" r:id="rId125"/>
    <sheet xmlns:r="http://schemas.openxmlformats.org/officeDocument/2006/relationships" name="QUERY_order_by_desc_with_limit" sheetId="126" state="visible" r:id="rId126"/>
    <sheet xmlns:r="http://schemas.openxmlformats.org/officeDocument/2006/relationships" name="QUERY_offset_applied_before_lim" sheetId="127" state="visible" r:id="rId127"/>
    <sheet xmlns:r="http://schemas.openxmlformats.org/officeDocument/2006/relationships" name="QUERY_contains_is_a_case_sensit" sheetId="128" state="visible" r:id="rId128"/>
    <sheet xmlns:r="http://schemas.openxmlformats.org/officeDocument/2006/relationships" name="QUERY_col_notation_from_the_fun" sheetId="129" state="visible" r:id="rId129"/>
    <sheet xmlns:r="http://schemas.openxmlformats.org/officeDocument/2006/relationships" name="REGEXMATCH_documented_sample_su" sheetId="130" state="visible" r:id="rId130"/>
    <sheet xmlns:r="http://schemas.openxmlformats.org/officeDocument/2006/relationships" name="REGEXMATCH_anchored_pattern_doe" sheetId="131" state="visible" r:id="rId131"/>
    <sheet xmlns:r="http://schemas.openxmlformats.org/officeDocument/2006/relationships" name="REGEXMATCH_is_case_sensitive_by" sheetId="132" state="visible" r:id="rId132"/>
    <sheet xmlns:r="http://schemas.openxmlformats.org/officeDocument/2006/relationships" name="REGEXMATCH_case_insensitive_fla" sheetId="133" state="visible" r:id="rId133"/>
    <sheet xmlns:r="http://schemas.openxmlformats.org/officeDocument/2006/relationships" name="REGEXMATCH_numbers_via_the_docu" sheetId="134" state="visible" r:id="rId134"/>
    <sheet xmlns:r="http://schemas.openxmlformats.org/officeDocument/2006/relationships" name="SORTN_published_defaults" sheetId="135" state="visible" r:id="rId135"/>
    <sheet xmlns:r="http://schemas.openxmlformats.org/officeDocument/2006/relationships" name="SORTN_published_n_equals_two" sheetId="136" state="visible" r:id="rId136"/>
    <sheet xmlns:r="http://schemas.openxmlformats.org/officeDocument/2006/relationships" name="SORTN_published_ties_mode_0" sheetId="137" state="visible" r:id="rId137"/>
    <sheet xmlns:r="http://schemas.openxmlformats.org/officeDocument/2006/relationships" name="SORTN_published_ties_mode_1" sheetId="138" state="visible" r:id="rId138"/>
    <sheet xmlns:r="http://schemas.openxmlformats.org/officeDocument/2006/relationships" name="SORTN_published_ties_mode_2" sheetId="139" state="visible" r:id="rId139"/>
    <sheet xmlns:r="http://schemas.openxmlformats.org/officeDocument/2006/relationships" name="SORTN_published_ties_mode_3" sheetId="140" state="visible" r:id="rId140"/>
    <sheet xmlns:r="http://schemas.openxmlformats.org/officeDocument/2006/relationships" name="SORTN_published_two_sort_column" sheetId="141" state="visible" r:id="rId141"/>
    <sheet xmlns:r="http://schemas.openxmlformats.org/officeDocument/2006/relationships" name="SPLIT_documented_sample_on_a_sp" sheetId="142" state="visible" r:id="rId142"/>
    <sheet xmlns:r="http://schemas.openxmlformats.org/officeDocument/2006/relationships" name="SPLIT_delimiter_is_a_set_of_cha" sheetId="143" state="visible" r:id="rId143"/>
    <sheet xmlns:r="http://schemas.openxmlformats.org/officeDocument/2006/relationships" name="SPLIT_by_whole_string_when_spli" sheetId="144" state="visible" r:id="rId144"/>
    <sheet xmlns:r="http://schemas.openxmlformats.org/officeDocument/2006/relationships" name="SPLIT_consecutive_delimiters_co" sheetId="145" state="visible" r:id="rId145"/>
    <sheet xmlns:r="http://schemas.openxmlformats.org/officeDocument/2006/relationships" name="SPLIT_consecutive_delimiters_ke" sheetId="146" state="visible" r:id="rId146"/>
    <sheet xmlns:r="http://schemas.openxmlformats.org/officeDocument/2006/relationships" name="SPLIT_delimiter_absent_from_the" sheetId="147" state="visible" r:id="rId1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styles" Target="styles.xml" Id="rId148"/><Relationship Type="http://schemas.openxmlformats.org/officeDocument/2006/relationships/theme" Target="theme/theme1.xml" Id="rId1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NOW()</f>
        <v/>
      </c>
    </row>
    <row r="2">
      <c r="A2">
        <f>1111+2222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ADD(3,4)</f>
        <v/>
      </c>
      <c r="Z1">
        <f>1111+2222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ADD(A2,A3)</f>
        <v/>
      </c>
      <c r="Z1">
        <f>1111+2222</f>
        <v/>
      </c>
    </row>
    <row r="2">
      <c r="A2" t="n">
        <v>12</v>
      </c>
    </row>
    <row r="3">
      <c r="A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ADD(A2,A3)-(A2+A3)</f>
        <v/>
      </c>
      <c r="Z1">
        <f>1111+2222</f>
        <v/>
      </c>
    </row>
    <row r="2">
      <c r="A2" t="n">
        <v>12</v>
      </c>
    </row>
    <row r="3">
      <c r="A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ROUND(ADD(-2.5,0.25),10)</f>
        <v/>
      </c>
      <c r="Z1">
        <f>1111+2222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ADD(3,4)-SUM(3,4)</f>
        <v/>
      </c>
      <c r="Z1">
        <f>1111+2222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Z1">
        <f>1111+2222</f>
        <v/>
      </c>
    </row>
    <row r="2">
      <c r="A2" t="n">
        <v>10</v>
      </c>
      <c r="B2" t="n">
        <v>20</v>
      </c>
      <c r="C2" t="n">
        <v>30</v>
      </c>
    </row>
    <row r="30">
      <c r="A30">
        <f t="array" ref="A30:C30">ARRAYFORMULA(A1:C1+A2:C2)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F1">
        <f>ARRAYFORMULA(SUM(IF(A1:A10&gt;5,A1:A10,0)))</f>
        <v/>
      </c>
      <c r="Z1">
        <f>1111+2222</f>
        <v/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ARRAYFORMULA(1+1)</f>
        <v/>
      </c>
      <c r="Z1">
        <f>1111+2222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F1">
        <f>SUM(ARRAYFORMULA(LEN(A1:A3)))</f>
        <v/>
      </c>
      <c r="Z1">
        <f>1111+2222</f>
        <v/>
      </c>
    </row>
    <row r="2">
      <c r="A2" t="inlineStr">
        <is>
          <t>bb</t>
        </is>
      </c>
    </row>
    <row r="3">
      <c r="A3" t="inlineStr">
        <is>
          <t>ccc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Z1">
        <f>1111+2222</f>
        <v/>
      </c>
    </row>
    <row r="2">
      <c r="A2" t="n">
        <v>4</v>
      </c>
      <c r="B2" t="n">
        <v>5</v>
      </c>
      <c r="C2" t="n">
        <v>6</v>
      </c>
    </row>
    <row r="3">
      <c r="A3" t="n">
        <v>7</v>
      </c>
      <c r="B3" t="n">
        <v>8</v>
      </c>
      <c r="C3" t="n">
        <v>9</v>
      </c>
    </row>
    <row r="4">
      <c r="A4" t="n">
        <v>10</v>
      </c>
      <c r="B4" t="n">
        <v>11</v>
      </c>
      <c r="C4" t="n">
        <v>12</v>
      </c>
    </row>
    <row r="5">
      <c r="A5" t="n">
        <v>13</v>
      </c>
      <c r="B5" t="n">
        <v>14</v>
      </c>
      <c r="C5" t="n">
        <v>15</v>
      </c>
    </row>
    <row r="6">
      <c r="A6" t="n">
        <v>16</v>
      </c>
      <c r="B6" t="n">
        <v>17</v>
      </c>
      <c r="C6" t="n">
        <v>18</v>
      </c>
    </row>
    <row r="7">
      <c r="A7" t="n">
        <v>19</v>
      </c>
      <c r="B7" t="n">
        <v>20</v>
      </c>
      <c r="C7" t="n">
        <v>21</v>
      </c>
    </row>
    <row r="8">
      <c r="A8" t="n">
        <v>22</v>
      </c>
      <c r="B8" t="n">
        <v>23</v>
      </c>
      <c r="C8" t="n">
        <v>24</v>
      </c>
    </row>
    <row r="9">
      <c r="A9" t="n">
        <v>25</v>
      </c>
      <c r="B9" t="n">
        <v>26</v>
      </c>
      <c r="C9" t="n">
        <v>27</v>
      </c>
    </row>
    <row r="10">
      <c r="A10" t="n">
        <v>28</v>
      </c>
      <c r="B10" t="n">
        <v>29</v>
      </c>
      <c r="C10" t="n">
        <v>30</v>
      </c>
    </row>
    <row r="30">
      <c r="A30">
        <f t="array" ref="A30:C31">ARRAY_CONSTRAIN(A1:C10, 2, 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Z1">
        <f>1111+2222</f>
        <v/>
      </c>
    </row>
    <row r="2">
      <c r="A2" t="n">
        <v>4</v>
      </c>
      <c r="B2" t="n">
        <v>5</v>
      </c>
      <c r="C2" t="n">
        <v>6</v>
      </c>
    </row>
    <row r="3">
      <c r="A3" t="n">
        <v>7</v>
      </c>
      <c r="B3" t="n">
        <v>8</v>
      </c>
      <c r="C3" t="n">
        <v>9</v>
      </c>
    </row>
    <row r="4">
      <c r="A4" t="n">
        <v>10</v>
      </c>
      <c r="B4" t="n">
        <v>11</v>
      </c>
      <c r="C4" t="n">
        <v>12</v>
      </c>
    </row>
    <row r="5">
      <c r="A5" t="n">
        <v>13</v>
      </c>
      <c r="B5" t="n">
        <v>14</v>
      </c>
      <c r="C5" t="n">
        <v>15</v>
      </c>
    </row>
    <row r="6">
      <c r="A6" t="n">
        <v>16</v>
      </c>
      <c r="B6" t="n">
        <v>17</v>
      </c>
      <c r="C6" t="n">
        <v>18</v>
      </c>
    </row>
    <row r="7">
      <c r="A7" t="n">
        <v>19</v>
      </c>
      <c r="B7" t="n">
        <v>20</v>
      </c>
      <c r="C7" t="n">
        <v>21</v>
      </c>
    </row>
    <row r="8">
      <c r="A8" t="n">
        <v>22</v>
      </c>
      <c r="B8" t="n">
        <v>23</v>
      </c>
      <c r="C8" t="n">
        <v>24</v>
      </c>
    </row>
    <row r="9">
      <c r="A9" t="n">
        <v>25</v>
      </c>
      <c r="B9" t="n">
        <v>26</v>
      </c>
      <c r="C9" t="n">
        <v>27</v>
      </c>
    </row>
    <row r="10">
      <c r="A10" t="n">
        <v>28</v>
      </c>
      <c r="B10" t="n">
        <v>29</v>
      </c>
      <c r="C10" t="n">
        <v>30</v>
      </c>
    </row>
    <row r="30">
      <c r="A30">
        <f t="array" ref="A30:A32">ARRAY_CONSTRAIN(A1:C10, 3, 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F1">
        <f>ARRAY_CONSTRAIN(A1:C10, 1, 1)</f>
        <v/>
      </c>
      <c r="Z1">
        <f>1111+2222</f>
        <v/>
      </c>
    </row>
    <row r="2">
      <c r="A2" t="n">
        <v>4</v>
      </c>
      <c r="B2" t="n">
        <v>5</v>
      </c>
      <c r="C2" t="n">
        <v>6</v>
      </c>
    </row>
    <row r="3">
      <c r="A3" t="n">
        <v>7</v>
      </c>
      <c r="B3" t="n">
        <v>8</v>
      </c>
      <c r="C3" t="n">
        <v>9</v>
      </c>
    </row>
    <row r="4">
      <c r="A4" t="n">
        <v>10</v>
      </c>
      <c r="B4" t="n">
        <v>11</v>
      </c>
      <c r="C4" t="n">
        <v>12</v>
      </c>
    </row>
    <row r="5">
      <c r="A5" t="n">
        <v>13</v>
      </c>
      <c r="B5" t="n">
        <v>14</v>
      </c>
      <c r="C5" t="n">
        <v>15</v>
      </c>
    </row>
    <row r="6">
      <c r="A6" t="n">
        <v>16</v>
      </c>
      <c r="B6" t="n">
        <v>17</v>
      </c>
      <c r="C6" t="n">
        <v>18</v>
      </c>
    </row>
    <row r="7">
      <c r="A7" t="n">
        <v>19</v>
      </c>
      <c r="B7" t="n">
        <v>20</v>
      </c>
      <c r="C7" t="n">
        <v>21</v>
      </c>
    </row>
    <row r="8">
      <c r="A8" t="n">
        <v>22</v>
      </c>
      <c r="B8" t="n">
        <v>23</v>
      </c>
      <c r="C8" t="n">
        <v>24</v>
      </c>
    </row>
    <row r="9">
      <c r="A9" t="n">
        <v>25</v>
      </c>
      <c r="B9" t="n">
        <v>26</v>
      </c>
      <c r="C9" t="n">
        <v>27</v>
      </c>
    </row>
    <row r="10">
      <c r="A10" t="n">
        <v>28</v>
      </c>
      <c r="B10" t="n">
        <v>29</v>
      </c>
      <c r="C10" t="n">
        <v>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Z1">
        <f>1111+2222</f>
        <v/>
      </c>
    </row>
    <row r="2">
      <c r="A2" t="n">
        <v>4</v>
      </c>
      <c r="B2" t="n">
        <v>5</v>
      </c>
      <c r="C2" t="n">
        <v>6</v>
      </c>
    </row>
    <row r="3">
      <c r="A3" t="n">
        <v>7</v>
      </c>
      <c r="B3" t="n">
        <v>8</v>
      </c>
      <c r="C3" t="n">
        <v>9</v>
      </c>
    </row>
    <row r="4">
      <c r="A4" t="n">
        <v>10</v>
      </c>
      <c r="B4" t="n">
        <v>11</v>
      </c>
      <c r="C4" t="n">
        <v>12</v>
      </c>
    </row>
    <row r="5">
      <c r="A5" t="n">
        <v>13</v>
      </c>
      <c r="B5" t="n">
        <v>14</v>
      </c>
      <c r="C5" t="n">
        <v>15</v>
      </c>
    </row>
    <row r="6">
      <c r="A6" t="n">
        <v>16</v>
      </c>
      <c r="B6" t="n">
        <v>17</v>
      </c>
      <c r="C6" t="n">
        <v>18</v>
      </c>
    </row>
    <row r="7">
      <c r="A7" t="n">
        <v>19</v>
      </c>
      <c r="B7" t="n">
        <v>20</v>
      </c>
      <c r="C7" t="n">
        <v>21</v>
      </c>
    </row>
    <row r="8">
      <c r="A8" t="n">
        <v>22</v>
      </c>
      <c r="B8" t="n">
        <v>23</v>
      </c>
      <c r="C8" t="n">
        <v>24</v>
      </c>
    </row>
    <row r="9">
      <c r="A9" t="n">
        <v>25</v>
      </c>
      <c r="B9" t="n">
        <v>26</v>
      </c>
      <c r="C9" t="n">
        <v>27</v>
      </c>
    </row>
    <row r="10">
      <c r="A10" t="n">
        <v>28</v>
      </c>
      <c r="B10" t="n">
        <v>29</v>
      </c>
      <c r="C10" t="n">
        <v>30</v>
      </c>
    </row>
    <row r="30">
      <c r="A30">
        <f t="array" ref="A30:C31">ARRAY_CONSTRAIN(SORT(A1:C10, 1, FALSE), 2, 3)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1</v>
      </c>
      <c r="F1">
        <f>ROUND(AVERAGE.WEIGHTED(A1:A2, B1:B2),10)</f>
        <v/>
      </c>
      <c r="Z1">
        <f>1111+2222</f>
        <v/>
      </c>
    </row>
    <row r="2">
      <c r="A2" t="n">
        <v>4</v>
      </c>
      <c r="B2" t="n">
        <v>3</v>
      </c>
    </row>
    <row r="3">
      <c r="A3" t="n">
        <v>8</v>
      </c>
      <c r="B3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ROUND(AVERAGE.WEIGHTED(2, 10, 4, 15),10)</f>
        <v/>
      </c>
      <c r="Z1">
        <f>1111+2222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1</v>
      </c>
      <c r="F1">
        <f>ROUND(AVERAGE.WEIGHTED(A1:A2, B1:B2, A3, B3),10)</f>
        <v/>
      </c>
      <c r="Z1">
        <f>1111+2222</f>
        <v/>
      </c>
    </row>
    <row r="2">
      <c r="A2" t="n">
        <v>4</v>
      </c>
      <c r="B2" t="n">
        <v>3</v>
      </c>
    </row>
    <row r="3">
      <c r="A3" t="n">
        <v>8</v>
      </c>
      <c r="B3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Grade</t>
        </is>
      </c>
      <c r="C1" t="inlineStr">
        <is>
          <t>Percentage of final grade</t>
        </is>
      </c>
      <c r="F1">
        <f>ROUND(AVERAGE.WEIGHTED(B2:B6, C2:C6),10)</f>
        <v/>
      </c>
      <c r="Z1">
        <f>1111+2222</f>
        <v/>
      </c>
    </row>
    <row r="2">
      <c r="A2" t="inlineStr">
        <is>
          <t>Homework</t>
        </is>
      </c>
      <c r="B2" t="n">
        <v>95</v>
      </c>
      <c r="C2" t="n">
        <v>0.25</v>
      </c>
    </row>
    <row r="3">
      <c r="A3" t="inlineStr">
        <is>
          <t>Participation</t>
        </is>
      </c>
      <c r="B3" t="n">
        <v>90</v>
      </c>
      <c r="C3" t="n">
        <v>0.1</v>
      </c>
    </row>
    <row r="4">
      <c r="A4" t="inlineStr">
        <is>
          <t>Midterm exam</t>
        </is>
      </c>
      <c r="B4" t="n">
        <v>85</v>
      </c>
      <c r="C4" t="n">
        <v>0.15</v>
      </c>
    </row>
    <row r="5">
      <c r="A5" t="inlineStr">
        <is>
          <t>Projects</t>
        </is>
      </c>
      <c r="B5" t="n">
        <v>88</v>
      </c>
      <c r="C5" t="n">
        <v>0.2</v>
      </c>
    </row>
    <row r="6">
      <c r="A6" t="inlineStr">
        <is>
          <t>Final exam</t>
        </is>
      </c>
      <c r="B6" t="n">
        <v>82</v>
      </c>
      <c r="C6" t="n">
        <v>0.3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C1" t="n">
        <v>1</v>
      </c>
      <c r="F1">
        <f>ROUND(AVERAGE.WEIGHTED(A1:A3, C1:C3),10)</f>
        <v/>
      </c>
      <c r="Z1">
        <f>1111+2222</f>
        <v/>
      </c>
    </row>
    <row r="2">
      <c r="A2" t="n">
        <v>4</v>
      </c>
      <c r="C2" t="n">
        <v>0</v>
      </c>
    </row>
    <row r="3">
      <c r="A3" t="n">
        <v>8</v>
      </c>
      <c r="C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COUNTUNIQUE(1,1,2,3,5,8,13)</f>
        <v/>
      </c>
      <c r="Z1">
        <f>1111+2222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F1">
        <f>COUNTUNIQUE(A1:A5)</f>
        <v/>
      </c>
      <c r="Z1">
        <f>1111+2222</f>
        <v/>
      </c>
    </row>
    <row r="2">
      <c r="A2" t="n">
        <v>2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COUNTUNIQUE(1,1,2,3,5,8,13,A2,B6:B9)</f>
        <v/>
      </c>
      <c r="Z1">
        <f>1111+2222</f>
        <v/>
      </c>
    </row>
    <row r="2">
      <c r="A2" t="n">
        <v>2</v>
      </c>
    </row>
    <row r="6">
      <c r="B6" t="n">
        <v>21</v>
      </c>
    </row>
    <row r="7">
      <c r="B7" t="n">
        <v>34</v>
      </c>
    </row>
    <row r="8">
      <c r="B8" t="n">
        <v>55</v>
      </c>
    </row>
    <row r="9">
      <c r="B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COUNTUNIQUE(1,2,3,4,5,6,7,8,9,10,11,12,13,14,15,16,17,18,19,20,21,22,23,24,25,26,27,28,29,30,31,32,33,34,35)</f>
        <v/>
      </c>
      <c r="Z1">
        <f>1111+2222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DIVIDE(4,2)</f>
        <v/>
      </c>
      <c r="Z1">
        <f>1111+2222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DIVIDE(A2,B2)</f>
        <v/>
      </c>
      <c r="Z1">
        <f>1111+2222</f>
        <v/>
      </c>
    </row>
    <row r="2">
      <c r="A2" t="n">
        <v>9</v>
      </c>
      <c r="B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DIVIDE(A2,B2)-(A2/B2)</f>
        <v/>
      </c>
      <c r="Z1">
        <f>1111+2222</f>
        <v/>
      </c>
    </row>
    <row r="2">
      <c r="A2" t="n">
        <v>9</v>
      </c>
      <c r="B2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DIVIDE(7,2)-QUOTIENT(7,2)</f>
        <v/>
      </c>
      <c r="Z1">
        <f>1111+2222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ROUND(DIVIDE(1,3),9)</f>
        <v/>
      </c>
      <c r="Z1">
        <f>1111+2222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TEXT(EPOCHTODATE(1655906710,1),"yyyy-mm-dd hh:mm:ss")</f>
        <v/>
      </c>
      <c r="Z1">
        <f>1111+2222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TEXT(EPOCHTODATE(1584033897),"yyyy-mm-dd hh:mm:ss")</f>
        <v/>
      </c>
      <c r="Z1">
        <f>1111+2222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EPOCHTODATE(0,2)-DATE(1970,1,1)</f>
        <v/>
      </c>
      <c r="Z1">
        <f>1111+2222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ROUND(EPOCHTODATE(0,2),6)</f>
        <v/>
      </c>
      <c r="Z1">
        <f>1111+2222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ROUND((EPOCHTODATE(1655906568893,2)-DATE(2022,6,22))*86400,3)</f>
        <v/>
      </c>
      <c r="Z1">
        <f>1111+2222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ROUND((EPOCHTODATE(1656356678000410,3)-DATE(2022,6,27))*86400,3)</f>
        <v/>
      </c>
      <c r="Z1">
        <f>1111+2222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EQ(2,3)</f>
        <v/>
      </c>
      <c r="Z1">
        <f>1111+2222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EQ(A2,A3)</f>
        <v/>
      </c>
      <c r="Z1">
        <f>1111+2222</f>
        <v/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EQ(5,5)</f>
        <v/>
      </c>
      <c r="Z1">
        <f>1111+2222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EQ("a","A")=("a"="A")</f>
        <v/>
      </c>
      <c r="Z1">
        <f>1111+2222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Z1">
        <f>1111+2222</f>
        <v/>
      </c>
    </row>
    <row r="2">
      <c r="A2" t="n">
        <v>3</v>
      </c>
      <c r="B2" t="n">
        <v>4</v>
      </c>
    </row>
    <row r="3">
      <c r="B3" t="n">
        <v>5</v>
      </c>
    </row>
    <row r="4">
      <c r="B4" t="n">
        <v>6</v>
      </c>
    </row>
    <row r="30">
      <c r="A30">
        <f t="array" ref="A30:A36">FLATTEN(A1:B2, "sample middle", B3:B4)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Z1">
        <f>1111+2222</f>
        <v/>
      </c>
    </row>
    <row r="2">
      <c r="A2" t="n">
        <v>3</v>
      </c>
      <c r="B2" t="n">
        <v>4</v>
      </c>
    </row>
    <row r="3">
      <c r="B3" t="n">
        <v>5</v>
      </c>
    </row>
    <row r="4">
      <c r="B4" t="n">
        <v>6</v>
      </c>
    </row>
    <row r="30">
      <c r="A30">
        <f t="array" ref="A30:A33">FLATTEN(A1:B2)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Z1">
        <f>1111+2222</f>
        <v/>
      </c>
    </row>
    <row r="2">
      <c r="A2" t="n">
        <v>3</v>
      </c>
      <c r="B2" t="n">
        <v>4</v>
      </c>
    </row>
    <row r="3">
      <c r="B3" t="n">
        <v>5</v>
      </c>
    </row>
    <row r="4">
      <c r="B4" t="n">
        <v>6</v>
      </c>
    </row>
    <row r="30">
      <c r="A30">
        <f t="array" ref="A30:A33">FLATTEN(B1:B2, A1:A2)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F1">
        <f>ROWS(FLATTEN(A1:B3))</f>
        <v/>
      </c>
      <c r="Z1">
        <f>1111+2222</f>
        <v/>
      </c>
    </row>
    <row r="2">
      <c r="A2" t="n">
        <v>3</v>
      </c>
      <c r="B2" t="n">
        <v>4</v>
      </c>
    </row>
    <row r="3">
      <c r="B3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GT(2,3)</f>
        <v/>
      </c>
      <c r="Z1">
        <f>1111+2222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GT(A2,A3)</f>
        <v/>
      </c>
      <c r="Z1">
        <f>1111+2222</f>
        <v/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GT(5,5)</f>
        <v/>
      </c>
      <c r="Z1">
        <f>1111+2222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GT("b","a")=("b"&gt;"a")</f>
        <v/>
      </c>
      <c r="Z1">
        <f>1111+2222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GTE(2,3)</f>
        <v/>
      </c>
      <c r="Z1">
        <f>1111+2222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GTE(A2,A3)</f>
        <v/>
      </c>
      <c r="Z1">
        <f>1111+2222</f>
        <v/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GTE(5,5)</f>
        <v/>
      </c>
      <c r="Z1">
        <f>1111+2222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GTE("b","a")=("b"&gt;="a")</f>
        <v/>
      </c>
      <c r="Z1">
        <f>1111+2222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IMCOTH(COMPLEX(4,1))</f>
        <v/>
      </c>
      <c r="Z1">
        <f>1111+2222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ROUND(IMCOTH(3.5),14)</f>
        <v/>
      </c>
      <c r="Z1">
        <f>1111+2222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ROUND(IMREAL(IMCOTH("3+2i")),15)</f>
        <v/>
      </c>
      <c r="Z1">
        <f>1111+2222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ROUND(IMAGINARY(IMCOTH("3+2i")),17)</f>
        <v/>
      </c>
      <c r="Z1">
        <f>1111+2222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ROUND(IMABS(IMSUB(IMCOTH("3+2i"),IMDIV(1,IMTANH("3+2i")))),12)</f>
        <v/>
      </c>
      <c r="Z1">
        <f>1111+2222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IMLOG(100,10)</f>
        <v/>
      </c>
      <c r="Z1">
        <f>1111+2222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IMLOG("1+i", 3.5)</f>
        <v/>
      </c>
      <c r="Z1">
        <f>1111+2222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ROUND(IMREAL(IMLOG(COMPLEX(25, 34), 2.3)),14)</f>
        <v/>
      </c>
      <c r="Z1">
        <f>1111+2222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ROUND(IMAGINARY(IMLOG(COMPLEX(25, 34), 2.3)),14)</f>
        <v/>
      </c>
      <c r="Z1">
        <f>1111+2222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ROUND(IMLOG(100,10)-LOG(100,10),12)</f>
        <v/>
      </c>
      <c r="Z1">
        <f>1111+2222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ROUND(IMABS(IMSUB(IMLOG("1+i",2),IMLOG2("1+i"))),12)</f>
        <v/>
      </c>
      <c r="Z1">
        <f>1111+2222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IMTANH(COMPLEX(4,1))</f>
        <v/>
      </c>
      <c r="Z1">
        <f>1111+2222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ROUND(IMTANH(3.5),15)</f>
        <v/>
      </c>
      <c r="Z1">
        <f>1111+2222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ROUND(IMREAL(IMTANH("3+2i")),14)</f>
        <v/>
      </c>
      <c r="Z1">
        <f>1111+2222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ROUND(IMAGINARY(IMTANH("3+2i")),17)</f>
        <v/>
      </c>
      <c r="Z1">
        <f>1111+2222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ISBETWEEN(7.9, 1.2, 12.45)</f>
        <v/>
      </c>
      <c r="Z1">
        <f>1111+2222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ISBETWEEN(1.2, 1.2, 12.45, TRUE)</f>
        <v/>
      </c>
      <c r="Z1">
        <f>1111+2222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ISBETWEEN(1.2, 1.2, 12.45, FALSE)</f>
        <v/>
      </c>
      <c r="Z1">
        <f>1111+2222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ISBETWEEN(12.45, 1.2, 12.45, TRUE, TRUE)</f>
        <v/>
      </c>
      <c r="Z1">
        <f>1111+2222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ISBETWEEN(12.45, 1.2, 12.45, TRUE, FALSE)</f>
        <v/>
      </c>
      <c r="Z1">
        <f>1111+2222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ISBETWEEN(7.9, 1.2, 12.45, FALSE, FALSE)</f>
        <v/>
      </c>
      <c r="Z1">
        <f>1111+2222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ISDATE("July 20 1969")</f>
        <v/>
      </c>
      <c r="Z1">
        <f>1111+2222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ISDATE("1969-20-07")</f>
        <v/>
      </c>
      <c r="Z1">
        <f>1111+2222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ISDATE("July")</f>
        <v/>
      </c>
      <c r="Z1">
        <f>1111+2222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ISDATE("Feb 30")</f>
        <v/>
      </c>
      <c r="Z1">
        <f>1111+2222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ISEMAIL("noreply@google.com")</f>
        <v/>
      </c>
      <c r="Z1">
        <f>1111+2222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ISEMAIL("johndoe@yourname.com")</f>
        <v/>
      </c>
      <c r="Z1">
        <f>1111+2222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ISEMAIL("janesmith@yourname.xyz")</f>
        <v/>
      </c>
      <c r="Z1">
        <f>1111+2222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ISEMAIL("not an email")</f>
        <v/>
      </c>
      <c r="Z1">
        <f>1111+2222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ISURL("http://www.google.com")</f>
        <v/>
      </c>
      <c r="Z1">
        <f>1111+2222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ISURL("www.google.com")</f>
        <v/>
      </c>
      <c r="Z1">
        <f>1111+2222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ISURL("google.com")</f>
        <v/>
      </c>
      <c r="Z1">
        <f>1111+2222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ISURL("www.abc.xyz")</f>
        <v/>
      </c>
      <c r="Z1">
        <f>1111+2222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ISURL("mailto:someone@example.com")</f>
        <v/>
      </c>
      <c r="Z1">
        <f>1111+2222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ISURL("not a url")</f>
        <v/>
      </c>
      <c r="Z1">
        <f>1111+2222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JOIN(" and-a ",{1,2,"1 2 3 4"})</f>
        <v/>
      </c>
      <c r="Z1">
        <f>1111+2222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JOIN(",",{1,2,3},{4;5;6})</f>
        <v/>
      </c>
      <c r="Z1">
        <f>1111+2222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F1">
        <f>JOIN("-",A1:A5)</f>
        <v/>
      </c>
      <c r="Z1">
        <f>1111+2222</f>
        <v/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n">
        <v>50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JOIN(,{1,2,3})</f>
        <v/>
      </c>
      <c r="Z1">
        <f>1111+2222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</v>
      </c>
      <c r="F1">
        <f>JOIN("|",A1:A2,B1:B2)</f>
        <v/>
      </c>
      <c r="Z1">
        <f>1111+2222</f>
        <v/>
      </c>
    </row>
    <row r="2">
      <c r="A2" t="n">
        <v>2</v>
      </c>
      <c r="B2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LT(2,3)</f>
        <v/>
      </c>
      <c r="Z1">
        <f>1111+2222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LT(A2,A3)</f>
        <v/>
      </c>
      <c r="Z1">
        <f>1111+2222</f>
        <v/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LT(5,5)</f>
        <v/>
      </c>
      <c r="Z1">
        <f>1111+2222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LT("a","b")=("a"&lt;"b")</f>
        <v/>
      </c>
      <c r="Z1">
        <f>1111+2222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LTE(2,3)</f>
        <v/>
      </c>
      <c r="Z1">
        <f>1111+2222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LTE(A2,A3)</f>
        <v/>
      </c>
      <c r="Z1">
        <f>1111+2222</f>
        <v/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LTE(5,5)</f>
        <v/>
      </c>
      <c r="Z1">
        <f>1111+2222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LTE("a","b")=("a"&lt;="b")</f>
        <v/>
      </c>
      <c r="Z1">
        <f>1111+2222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F1">
        <f>ROUND(MARGINOFERROR(A1:A4, 0.95),3)</f>
        <v/>
      </c>
      <c r="Z1">
        <f>1111+2222</f>
        <v/>
      </c>
    </row>
    <row r="2">
      <c r="A2" t="n">
        <v>4</v>
      </c>
    </row>
    <row r="3">
      <c r="A3" t="n">
        <v>3</v>
      </c>
    </row>
    <row r="4">
      <c r="A4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F1">
        <f>ROUND(MARGINOFERROR(A1:A4, 0.95),6)</f>
        <v/>
      </c>
      <c r="Z1">
        <f>1111+2222</f>
        <v/>
      </c>
    </row>
    <row r="2">
      <c r="A2" t="n">
        <v>4</v>
      </c>
    </row>
    <row r="3">
      <c r="A3" t="n">
        <v>3</v>
      </c>
    </row>
    <row r="4">
      <c r="A4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F1">
        <f>ROUND(MARGINOFERROR(A1:A4, 0.95)-CONFIDENCE.T(1-0.95, STDEV(A1:A4), COUNT(A1:A4)),12)</f>
        <v/>
      </c>
      <c r="Z1">
        <f>1111+2222</f>
        <v/>
      </c>
    </row>
    <row r="2">
      <c r="A2" t="n">
        <v>4</v>
      </c>
    </row>
    <row r="3">
      <c r="A3" t="n">
        <v>3</v>
      </c>
    </row>
    <row r="4">
      <c r="A4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F1">
        <f>ROUND(AVERAGE(A1:A4)-MARGINOFERROR(A1:A4, 0.95),3)</f>
        <v/>
      </c>
      <c r="Z1">
        <f>1111+2222</f>
        <v/>
      </c>
    </row>
    <row r="2">
      <c r="A2" t="n">
        <v>4</v>
      </c>
    </row>
    <row r="3">
      <c r="A3" t="n">
        <v>3</v>
      </c>
    </row>
    <row r="4">
      <c r="A4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F1">
        <f>ROUND(MARGINOFERROR(A1:A4, 0.99),6)</f>
        <v/>
      </c>
      <c r="Z1">
        <f>1111+2222</f>
        <v/>
      </c>
    </row>
    <row r="2">
      <c r="A2" t="n">
        <v>4</v>
      </c>
    </row>
    <row r="3">
      <c r="A3" t="n">
        <v>3</v>
      </c>
    </row>
    <row r="4">
      <c r="A4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MINUS(3,4)</f>
        <v/>
      </c>
      <c r="Z1">
        <f>1111+2222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MINUS(A2,A3)</f>
        <v/>
      </c>
      <c r="Z1">
        <f>1111+2222</f>
        <v/>
      </c>
    </row>
    <row r="2">
      <c r="A2" t="n">
        <v>10</v>
      </c>
    </row>
    <row r="3">
      <c r="A3" t="n">
        <v>2.5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MINUS(A2,A3)-(A2-A3)</f>
        <v/>
      </c>
      <c r="Z1">
        <f>1111+2222</f>
        <v/>
      </c>
    </row>
    <row r="2">
      <c r="A2" t="n">
        <v>10</v>
      </c>
    </row>
    <row r="3">
      <c r="A3" t="n">
        <v>2.5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MINUS(3,4)+MINUS(4,3)</f>
        <v/>
      </c>
      <c r="Z1">
        <f>1111+2222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MULTIPLY(2,3)</f>
        <v/>
      </c>
      <c r="Z1">
        <f>1111+2222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MULTIPLY(A2,B2)</f>
        <v/>
      </c>
      <c r="Z1">
        <f>1111+2222</f>
        <v/>
      </c>
    </row>
    <row r="2">
      <c r="A2" t="n">
        <v>1.5</v>
      </c>
      <c r="B2" t="n">
        <v>-4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MULTIPLY(A2,B2)-(A2*B2)</f>
        <v/>
      </c>
      <c r="Z1">
        <f>1111+2222</f>
        <v/>
      </c>
    </row>
    <row r="2">
      <c r="A2" t="n">
        <v>1.5</v>
      </c>
      <c r="B2" t="n">
        <v>-4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MULTIPLY(2,3)-PRODUCT(2,3)</f>
        <v/>
      </c>
      <c r="Z1">
        <f>1111+2222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NE(2,3)</f>
        <v/>
      </c>
      <c r="Z1">
        <f>1111+2222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NE(A2,A3)</f>
        <v/>
      </c>
      <c r="Z1">
        <f>1111+2222</f>
        <v/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NE(5,5)</f>
        <v/>
      </c>
      <c r="Z1">
        <f>1111+2222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NE("a","A")=("a"&lt;&gt;"A")</f>
        <v/>
      </c>
      <c r="Z1">
        <f>1111+2222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POW(4,0.5)</f>
        <v/>
      </c>
      <c r="Z1">
        <f>1111+2222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POW(2,5)</f>
        <v/>
      </c>
      <c r="Z1">
        <f>1111+2222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POW(A2,B2)</f>
        <v/>
      </c>
      <c r="Z1">
        <f>1111+2222</f>
        <v/>
      </c>
    </row>
    <row r="2">
      <c r="A2" t="n">
        <v>3</v>
      </c>
      <c r="B2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POW(2,5)-POWER(2,5)</f>
        <v/>
      </c>
      <c r="Z1">
        <f>1111+2222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POW(-3,3)</f>
        <v/>
      </c>
      <c r="Z1">
        <f>1111+2222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inlineStr">
        <is>
          <t>Eng</t>
        </is>
      </c>
      <c r="C1" t="n">
        <v>1000</v>
      </c>
      <c r="D1" t="n">
        <v>35</v>
      </c>
      <c r="E1" t="b">
        <v>1</v>
      </c>
      <c r="Z1">
        <f>1111+2222</f>
        <v/>
      </c>
    </row>
    <row r="2">
      <c r="A2" t="inlineStr">
        <is>
          <t>Dave</t>
        </is>
      </c>
      <c r="B2" t="inlineStr">
        <is>
          <t>Eng</t>
        </is>
      </c>
      <c r="C2" t="n">
        <v>500</v>
      </c>
      <c r="D2" t="n">
        <v>27</v>
      </c>
      <c r="E2" t="b">
        <v>0</v>
      </c>
    </row>
    <row r="3">
      <c r="A3" t="inlineStr">
        <is>
          <t>Sally</t>
        </is>
      </c>
      <c r="B3" t="inlineStr">
        <is>
          <t>Eng</t>
        </is>
      </c>
      <c r="C3" t="n">
        <v>600</v>
      </c>
      <c r="D3" t="n">
        <v>30</v>
      </c>
      <c r="E3" t="b">
        <v>0</v>
      </c>
    </row>
    <row r="4">
      <c r="A4" t="inlineStr">
        <is>
          <t>Ben</t>
        </is>
      </c>
      <c r="B4" t="inlineStr">
        <is>
          <t>Sales</t>
        </is>
      </c>
      <c r="C4" t="n">
        <v>400</v>
      </c>
      <c r="D4" t="n">
        <v>32</v>
      </c>
      <c r="E4" t="b">
        <v>1</v>
      </c>
    </row>
    <row r="5">
      <c r="A5" t="inlineStr">
        <is>
          <t>Dana</t>
        </is>
      </c>
      <c r="B5" t="inlineStr">
        <is>
          <t>Sales</t>
        </is>
      </c>
      <c r="C5" t="n">
        <v>350</v>
      </c>
      <c r="D5" t="n">
        <v>25</v>
      </c>
      <c r="E5" t="b">
        <v>0</v>
      </c>
    </row>
    <row r="6">
      <c r="A6" t="inlineStr">
        <is>
          <t>Mike</t>
        </is>
      </c>
      <c r="B6" t="inlineStr">
        <is>
          <t>Marketing</t>
        </is>
      </c>
      <c r="C6" t="n">
        <v>800</v>
      </c>
      <c r="D6" t="n">
        <v>24</v>
      </c>
      <c r="E6" t="b">
        <v>1</v>
      </c>
    </row>
    <row r="30">
      <c r="A30">
        <f t="array" ref="A30:A31">QUERY(A1:E6, "select A where C &gt; 700", 0)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inlineStr">
        <is>
          <t>Eng</t>
        </is>
      </c>
      <c r="C1" t="n">
        <v>1000</v>
      </c>
      <c r="D1" t="n">
        <v>35</v>
      </c>
      <c r="E1" t="b">
        <v>1</v>
      </c>
      <c r="Z1">
        <f>1111+2222</f>
        <v/>
      </c>
    </row>
    <row r="2">
      <c r="A2" t="inlineStr">
        <is>
          <t>Dave</t>
        </is>
      </c>
      <c r="B2" t="inlineStr">
        <is>
          <t>Eng</t>
        </is>
      </c>
      <c r="C2" t="n">
        <v>500</v>
      </c>
      <c r="D2" t="n">
        <v>27</v>
      </c>
      <c r="E2" t="b">
        <v>0</v>
      </c>
    </row>
    <row r="3">
      <c r="A3" t="inlineStr">
        <is>
          <t>Sally</t>
        </is>
      </c>
      <c r="B3" t="inlineStr">
        <is>
          <t>Eng</t>
        </is>
      </c>
      <c r="C3" t="n">
        <v>600</v>
      </c>
      <c r="D3" t="n">
        <v>30</v>
      </c>
      <c r="E3" t="b">
        <v>0</v>
      </c>
    </row>
    <row r="4">
      <c r="A4" t="inlineStr">
        <is>
          <t>Ben</t>
        </is>
      </c>
      <c r="B4" t="inlineStr">
        <is>
          <t>Sales</t>
        </is>
      </c>
      <c r="C4" t="n">
        <v>400</v>
      </c>
      <c r="D4" t="n">
        <v>32</v>
      </c>
      <c r="E4" t="b">
        <v>1</v>
      </c>
    </row>
    <row r="5">
      <c r="A5" t="inlineStr">
        <is>
          <t>Dana</t>
        </is>
      </c>
      <c r="B5" t="inlineStr">
        <is>
          <t>Sales</t>
        </is>
      </c>
      <c r="C5" t="n">
        <v>350</v>
      </c>
      <c r="D5" t="n">
        <v>25</v>
      </c>
      <c r="E5" t="b">
        <v>0</v>
      </c>
    </row>
    <row r="6">
      <c r="A6" t="inlineStr">
        <is>
          <t>Mike</t>
        </is>
      </c>
      <c r="B6" t="inlineStr">
        <is>
          <t>Marketing</t>
        </is>
      </c>
      <c r="C6" t="n">
        <v>800</v>
      </c>
      <c r="D6" t="n">
        <v>24</v>
      </c>
      <c r="E6" t="b">
        <v>1</v>
      </c>
    </row>
    <row r="30">
      <c r="A30">
        <f t="array" ref="A30:B31">QUERY(A1:E6, "select B, A where C &gt; 700", 0)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inlineStr">
        <is>
          <t>Eng</t>
        </is>
      </c>
      <c r="C1" t="n">
        <v>1000</v>
      </c>
      <c r="D1" t="n">
        <v>35</v>
      </c>
      <c r="E1" t="b">
        <v>1</v>
      </c>
      <c r="Z1">
        <f>1111+2222</f>
        <v/>
      </c>
    </row>
    <row r="2">
      <c r="A2" t="inlineStr">
        <is>
          <t>Dave</t>
        </is>
      </c>
      <c r="B2" t="inlineStr">
        <is>
          <t>Eng</t>
        </is>
      </c>
      <c r="C2" t="n">
        <v>500</v>
      </c>
      <c r="D2" t="n">
        <v>27</v>
      </c>
      <c r="E2" t="b">
        <v>0</v>
      </c>
    </row>
    <row r="3">
      <c r="A3" t="inlineStr">
        <is>
          <t>Sally</t>
        </is>
      </c>
      <c r="B3" t="inlineStr">
        <is>
          <t>Eng</t>
        </is>
      </c>
      <c r="C3" t="n">
        <v>600</v>
      </c>
      <c r="D3" t="n">
        <v>30</v>
      </c>
      <c r="E3" t="b">
        <v>0</v>
      </c>
    </row>
    <row r="4">
      <c r="A4" t="inlineStr">
        <is>
          <t>Ben</t>
        </is>
      </c>
      <c r="B4" t="inlineStr">
        <is>
          <t>Sales</t>
        </is>
      </c>
      <c r="C4" t="n">
        <v>400</v>
      </c>
      <c r="D4" t="n">
        <v>32</v>
      </c>
      <c r="E4" t="b">
        <v>1</v>
      </c>
    </row>
    <row r="5">
      <c r="A5" t="inlineStr">
        <is>
          <t>Dana</t>
        </is>
      </c>
      <c r="B5" t="inlineStr">
        <is>
          <t>Sales</t>
        </is>
      </c>
      <c r="C5" t="n">
        <v>350</v>
      </c>
      <c r="D5" t="n">
        <v>25</v>
      </c>
      <c r="E5" t="b">
        <v>0</v>
      </c>
    </row>
    <row r="6">
      <c r="A6" t="inlineStr">
        <is>
          <t>Mike</t>
        </is>
      </c>
      <c r="B6" t="inlineStr">
        <is>
          <t>Marketing</t>
        </is>
      </c>
      <c r="C6" t="n">
        <v>800</v>
      </c>
      <c r="D6" t="n">
        <v>24</v>
      </c>
      <c r="E6" t="b">
        <v>1</v>
      </c>
    </row>
    <row r="30">
      <c r="A30">
        <f t="array" ref="A30:A32">QUERY(A1:E6, "select A where B = 'Eng'", 0)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inlineStr">
        <is>
          <t>Eng</t>
        </is>
      </c>
      <c r="C1" t="n">
        <v>1000</v>
      </c>
      <c r="D1" t="n">
        <v>35</v>
      </c>
      <c r="E1" t="b">
        <v>1</v>
      </c>
      <c r="Z1">
        <f>1111+2222</f>
        <v/>
      </c>
    </row>
    <row r="2">
      <c r="A2" t="inlineStr">
        <is>
          <t>Dave</t>
        </is>
      </c>
      <c r="B2" t="inlineStr">
        <is>
          <t>Eng</t>
        </is>
      </c>
      <c r="C2" t="n">
        <v>500</v>
      </c>
      <c r="D2" t="n">
        <v>27</v>
      </c>
      <c r="E2" t="b">
        <v>0</v>
      </c>
    </row>
    <row r="3">
      <c r="A3" t="inlineStr">
        <is>
          <t>Sally</t>
        </is>
      </c>
      <c r="B3" t="inlineStr">
        <is>
          <t>Eng</t>
        </is>
      </c>
      <c r="C3" t="n">
        <v>600</v>
      </c>
      <c r="D3" t="n">
        <v>30</v>
      </c>
      <c r="E3" t="b">
        <v>0</v>
      </c>
    </row>
    <row r="4">
      <c r="A4" t="inlineStr">
        <is>
          <t>Ben</t>
        </is>
      </c>
      <c r="B4" t="inlineStr">
        <is>
          <t>Sales</t>
        </is>
      </c>
      <c r="C4" t="n">
        <v>400</v>
      </c>
      <c r="D4" t="n">
        <v>32</v>
      </c>
      <c r="E4" t="b">
        <v>1</v>
      </c>
    </row>
    <row r="5">
      <c r="A5" t="inlineStr">
        <is>
          <t>Dana</t>
        </is>
      </c>
      <c r="B5" t="inlineStr">
        <is>
          <t>Sales</t>
        </is>
      </c>
      <c r="C5" t="n">
        <v>350</v>
      </c>
      <c r="D5" t="n">
        <v>25</v>
      </c>
      <c r="E5" t="b">
        <v>0</v>
      </c>
    </row>
    <row r="6">
      <c r="A6" t="inlineStr">
        <is>
          <t>Mike</t>
        </is>
      </c>
      <c r="B6" t="inlineStr">
        <is>
          <t>Marketing</t>
        </is>
      </c>
      <c r="C6" t="n">
        <v>800</v>
      </c>
      <c r="D6" t="n">
        <v>24</v>
      </c>
      <c r="E6" t="b">
        <v>1</v>
      </c>
    </row>
    <row r="30">
      <c r="A30">
        <f t="array" ref="A30:A32">QUERY(A1:E6, "select A where lower(B) = 'eng'", 0)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inlineStr">
        <is>
          <t>Eng</t>
        </is>
      </c>
      <c r="C1" t="n">
        <v>1000</v>
      </c>
      <c r="D1" t="n">
        <v>35</v>
      </c>
      <c r="E1" t="b">
        <v>1</v>
      </c>
      <c r="F1">
        <f>SUM(QUERY(A1:E6, "select max(C) group by B", 0))</f>
        <v/>
      </c>
      <c r="Z1">
        <f>1111+2222</f>
        <v/>
      </c>
    </row>
    <row r="2">
      <c r="A2" t="inlineStr">
        <is>
          <t>Dave</t>
        </is>
      </c>
      <c r="B2" t="inlineStr">
        <is>
          <t>Eng</t>
        </is>
      </c>
      <c r="C2" t="n">
        <v>500</v>
      </c>
      <c r="D2" t="n">
        <v>27</v>
      </c>
      <c r="E2" t="b">
        <v>0</v>
      </c>
    </row>
    <row r="3">
      <c r="A3" t="inlineStr">
        <is>
          <t>Sally</t>
        </is>
      </c>
      <c r="B3" t="inlineStr">
        <is>
          <t>Eng</t>
        </is>
      </c>
      <c r="C3" t="n">
        <v>600</v>
      </c>
      <c r="D3" t="n">
        <v>30</v>
      </c>
      <c r="E3" t="b">
        <v>0</v>
      </c>
    </row>
    <row r="4">
      <c r="A4" t="inlineStr">
        <is>
          <t>Ben</t>
        </is>
      </c>
      <c r="B4" t="inlineStr">
        <is>
          <t>Sales</t>
        </is>
      </c>
      <c r="C4" t="n">
        <v>400</v>
      </c>
      <c r="D4" t="n">
        <v>32</v>
      </c>
      <c r="E4" t="b">
        <v>1</v>
      </c>
    </row>
    <row r="5">
      <c r="A5" t="inlineStr">
        <is>
          <t>Dana</t>
        </is>
      </c>
      <c r="B5" t="inlineStr">
        <is>
          <t>Sales</t>
        </is>
      </c>
      <c r="C5" t="n">
        <v>350</v>
      </c>
      <c r="D5" t="n">
        <v>25</v>
      </c>
      <c r="E5" t="b">
        <v>0</v>
      </c>
    </row>
    <row r="6">
      <c r="A6" t="inlineStr">
        <is>
          <t>Mike</t>
        </is>
      </c>
      <c r="B6" t="inlineStr">
        <is>
          <t>Marketing</t>
        </is>
      </c>
      <c r="C6" t="n">
        <v>800</v>
      </c>
      <c r="D6" t="n">
        <v>24</v>
      </c>
      <c r="E6" t="b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inlineStr">
        <is>
          <t>Eng</t>
        </is>
      </c>
      <c r="C1" t="n">
        <v>1000</v>
      </c>
      <c r="D1" t="n">
        <v>35</v>
      </c>
      <c r="E1" t="b">
        <v>1</v>
      </c>
      <c r="Z1">
        <f>1111+2222</f>
        <v/>
      </c>
    </row>
    <row r="2">
      <c r="A2" t="inlineStr">
        <is>
          <t>Dave</t>
        </is>
      </c>
      <c r="B2" t="inlineStr">
        <is>
          <t>Eng</t>
        </is>
      </c>
      <c r="C2" t="n">
        <v>500</v>
      </c>
      <c r="D2" t="n">
        <v>27</v>
      </c>
      <c r="E2" t="b">
        <v>0</v>
      </c>
    </row>
    <row r="3">
      <c r="A3" t="inlineStr">
        <is>
          <t>Sally</t>
        </is>
      </c>
      <c r="B3" t="inlineStr">
        <is>
          <t>Eng</t>
        </is>
      </c>
      <c r="C3" t="n">
        <v>600</v>
      </c>
      <c r="D3" t="n">
        <v>30</v>
      </c>
      <c r="E3" t="b">
        <v>0</v>
      </c>
    </row>
    <row r="4">
      <c r="A4" t="inlineStr">
        <is>
          <t>Ben</t>
        </is>
      </c>
      <c r="B4" t="inlineStr">
        <is>
          <t>Sales</t>
        </is>
      </c>
      <c r="C4" t="n">
        <v>400</v>
      </c>
      <c r="D4" t="n">
        <v>32</v>
      </c>
      <c r="E4" t="b">
        <v>1</v>
      </c>
    </row>
    <row r="5">
      <c r="A5" t="inlineStr">
        <is>
          <t>Dana</t>
        </is>
      </c>
      <c r="B5" t="inlineStr">
        <is>
          <t>Sales</t>
        </is>
      </c>
      <c r="C5" t="n">
        <v>350</v>
      </c>
      <c r="D5" t="n">
        <v>25</v>
      </c>
      <c r="E5" t="b">
        <v>0</v>
      </c>
    </row>
    <row r="6">
      <c r="A6" t="inlineStr">
        <is>
          <t>Mike</t>
        </is>
      </c>
      <c r="B6" t="inlineStr">
        <is>
          <t>Marketing</t>
        </is>
      </c>
      <c r="C6" t="n">
        <v>800</v>
      </c>
      <c r="D6" t="n">
        <v>24</v>
      </c>
      <c r="E6" t="b">
        <v>1</v>
      </c>
    </row>
    <row r="30">
      <c r="A30">
        <f t="array" ref="A30:A31">QUERY(A1:E6, "select A order by C desc limit 2", 0)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inlineStr">
        <is>
          <t>Eng</t>
        </is>
      </c>
      <c r="C1" t="n">
        <v>1000</v>
      </c>
      <c r="D1" t="n">
        <v>35</v>
      </c>
      <c r="E1" t="b">
        <v>1</v>
      </c>
      <c r="Z1">
        <f>1111+2222</f>
        <v/>
      </c>
    </row>
    <row r="2">
      <c r="A2" t="inlineStr">
        <is>
          <t>Dave</t>
        </is>
      </c>
      <c r="B2" t="inlineStr">
        <is>
          <t>Eng</t>
        </is>
      </c>
      <c r="C2" t="n">
        <v>500</v>
      </c>
      <c r="D2" t="n">
        <v>27</v>
      </c>
      <c r="E2" t="b">
        <v>0</v>
      </c>
    </row>
    <row r="3">
      <c r="A3" t="inlineStr">
        <is>
          <t>Sally</t>
        </is>
      </c>
      <c r="B3" t="inlineStr">
        <is>
          <t>Eng</t>
        </is>
      </c>
      <c r="C3" t="n">
        <v>600</v>
      </c>
      <c r="D3" t="n">
        <v>30</v>
      </c>
      <c r="E3" t="b">
        <v>0</v>
      </c>
    </row>
    <row r="4">
      <c r="A4" t="inlineStr">
        <is>
          <t>Ben</t>
        </is>
      </c>
      <c r="B4" t="inlineStr">
        <is>
          <t>Sales</t>
        </is>
      </c>
      <c r="C4" t="n">
        <v>400</v>
      </c>
      <c r="D4" t="n">
        <v>32</v>
      </c>
      <c r="E4" t="b">
        <v>1</v>
      </c>
    </row>
    <row r="5">
      <c r="A5" t="inlineStr">
        <is>
          <t>Dana</t>
        </is>
      </c>
      <c r="B5" t="inlineStr">
        <is>
          <t>Sales</t>
        </is>
      </c>
      <c r="C5" t="n">
        <v>350</v>
      </c>
      <c r="D5" t="n">
        <v>25</v>
      </c>
      <c r="E5" t="b">
        <v>0</v>
      </c>
    </row>
    <row r="6">
      <c r="A6" t="inlineStr">
        <is>
          <t>Mike</t>
        </is>
      </c>
      <c r="B6" t="inlineStr">
        <is>
          <t>Marketing</t>
        </is>
      </c>
      <c r="C6" t="n">
        <v>800</v>
      </c>
      <c r="D6" t="n">
        <v>24</v>
      </c>
      <c r="E6" t="b">
        <v>1</v>
      </c>
    </row>
    <row r="30">
      <c r="A30">
        <f t="array" ref="A30:A31">QUERY(A1:E6, "select A order by C desc limit 2 offset 1", 0)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inlineStr">
        <is>
          <t>Eng</t>
        </is>
      </c>
      <c r="C1" t="n">
        <v>1000</v>
      </c>
      <c r="D1" t="n">
        <v>35</v>
      </c>
      <c r="E1" t="b">
        <v>1</v>
      </c>
      <c r="Z1">
        <f>1111+2222</f>
        <v/>
      </c>
    </row>
    <row r="2">
      <c r="A2" t="inlineStr">
        <is>
          <t>Dave</t>
        </is>
      </c>
      <c r="B2" t="inlineStr">
        <is>
          <t>Eng</t>
        </is>
      </c>
      <c r="C2" t="n">
        <v>500</v>
      </c>
      <c r="D2" t="n">
        <v>27</v>
      </c>
      <c r="E2" t="b">
        <v>0</v>
      </c>
    </row>
    <row r="3">
      <c r="A3" t="inlineStr">
        <is>
          <t>Sally</t>
        </is>
      </c>
      <c r="B3" t="inlineStr">
        <is>
          <t>Eng</t>
        </is>
      </c>
      <c r="C3" t="n">
        <v>600</v>
      </c>
      <c r="D3" t="n">
        <v>30</v>
      </c>
      <c r="E3" t="b">
        <v>0</v>
      </c>
    </row>
    <row r="4">
      <c r="A4" t="inlineStr">
        <is>
          <t>Ben</t>
        </is>
      </c>
      <c r="B4" t="inlineStr">
        <is>
          <t>Sales</t>
        </is>
      </c>
      <c r="C4" t="n">
        <v>400</v>
      </c>
      <c r="D4" t="n">
        <v>32</v>
      </c>
      <c r="E4" t="b">
        <v>1</v>
      </c>
    </row>
    <row r="5">
      <c r="A5" t="inlineStr">
        <is>
          <t>Dana</t>
        </is>
      </c>
      <c r="B5" t="inlineStr">
        <is>
          <t>Sales</t>
        </is>
      </c>
      <c r="C5" t="n">
        <v>350</v>
      </c>
      <c r="D5" t="n">
        <v>25</v>
      </c>
      <c r="E5" t="b">
        <v>0</v>
      </c>
    </row>
    <row r="6">
      <c r="A6" t="inlineStr">
        <is>
          <t>Mike</t>
        </is>
      </c>
      <c r="B6" t="inlineStr">
        <is>
          <t>Marketing</t>
        </is>
      </c>
      <c r="C6" t="n">
        <v>800</v>
      </c>
      <c r="D6" t="n">
        <v>24</v>
      </c>
      <c r="E6" t="b">
        <v>1</v>
      </c>
    </row>
    <row r="30">
      <c r="A30">
        <f t="array" ref="A30:A32">QUERY(A1:E6, "select A where A contains 'a'", 0)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John</t>
        </is>
      </c>
      <c r="B1" t="inlineStr">
        <is>
          <t>Eng</t>
        </is>
      </c>
      <c r="C1" t="n">
        <v>1000</v>
      </c>
      <c r="D1" t="n">
        <v>35</v>
      </c>
      <c r="E1" t="b">
        <v>1</v>
      </c>
      <c r="Z1">
        <f>1111+2222</f>
        <v/>
      </c>
    </row>
    <row r="2">
      <c r="A2" t="inlineStr">
        <is>
          <t>Dave</t>
        </is>
      </c>
      <c r="B2" t="inlineStr">
        <is>
          <t>Eng</t>
        </is>
      </c>
      <c r="C2" t="n">
        <v>500</v>
      </c>
      <c r="D2" t="n">
        <v>27</v>
      </c>
      <c r="E2" t="b">
        <v>0</v>
      </c>
    </row>
    <row r="3">
      <c r="A3" t="inlineStr">
        <is>
          <t>Sally</t>
        </is>
      </c>
      <c r="B3" t="inlineStr">
        <is>
          <t>Eng</t>
        </is>
      </c>
      <c r="C3" t="n">
        <v>600</v>
      </c>
      <c r="D3" t="n">
        <v>30</v>
      </c>
      <c r="E3" t="b">
        <v>0</v>
      </c>
    </row>
    <row r="4">
      <c r="A4" t="inlineStr">
        <is>
          <t>Ben</t>
        </is>
      </c>
      <c r="B4" t="inlineStr">
        <is>
          <t>Sales</t>
        </is>
      </c>
      <c r="C4" t="n">
        <v>400</v>
      </c>
      <c r="D4" t="n">
        <v>32</v>
      </c>
      <c r="E4" t="b">
        <v>1</v>
      </c>
    </row>
    <row r="5">
      <c r="A5" t="inlineStr">
        <is>
          <t>Dana</t>
        </is>
      </c>
      <c r="B5" t="inlineStr">
        <is>
          <t>Sales</t>
        </is>
      </c>
      <c r="C5" t="n">
        <v>350</v>
      </c>
      <c r="D5" t="n">
        <v>25</v>
      </c>
      <c r="E5" t="b">
        <v>0</v>
      </c>
    </row>
    <row r="6">
      <c r="A6" t="inlineStr">
        <is>
          <t>Mike</t>
        </is>
      </c>
      <c r="B6" t="inlineStr">
        <is>
          <t>Marketing</t>
        </is>
      </c>
      <c r="C6" t="n">
        <v>800</v>
      </c>
      <c r="D6" t="n">
        <v>24</v>
      </c>
      <c r="E6" t="b">
        <v>1</v>
      </c>
    </row>
    <row r="30">
      <c r="A30">
        <f t="array" ref="A30:A32">QUERY(A1:E6, "select Col1 where Col2 = 'Eng'", 0)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REGEXMATCH("Spreadsheets", "S.r")</f>
        <v/>
      </c>
      <c r="Z1">
        <f>1111+2222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REGEXMATCH("Spreadsheets", "^S.r$")</f>
        <v/>
      </c>
      <c r="Z1">
        <f>1111+2222</f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REGEXMATCH("ABC", "abc")</f>
        <v/>
      </c>
      <c r="Z1">
        <f>1111+2222</f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REGEXMATCH("ABC", "(?i)abc")</f>
        <v/>
      </c>
      <c r="Z1">
        <f>1111+2222</f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REGEXMATCH(TEXT(123,"0"), "2")</f>
        <v/>
      </c>
      <c r="Z1">
        <f>1111+2222</f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Test 1 score</t>
        </is>
      </c>
      <c r="C1" t="inlineStr">
        <is>
          <t>Test 2 score</t>
        </is>
      </c>
      <c r="Z1">
        <f>1111+2222</f>
        <v/>
      </c>
    </row>
    <row r="2">
      <c r="A2" t="inlineStr">
        <is>
          <t>Alice</t>
        </is>
      </c>
      <c r="B2" t="n">
        <v>100</v>
      </c>
      <c r="C2" t="n">
        <v>90</v>
      </c>
    </row>
    <row r="3">
      <c r="A3" t="inlineStr">
        <is>
          <t>Bob</t>
        </is>
      </c>
      <c r="B3" t="n">
        <v>75</v>
      </c>
      <c r="C3" t="n">
        <v>85</v>
      </c>
    </row>
    <row r="4">
      <c r="A4" t="inlineStr">
        <is>
          <t>Carol</t>
        </is>
      </c>
      <c r="B4" t="n">
        <v>80</v>
      </c>
      <c r="C4" t="n">
        <v>85</v>
      </c>
    </row>
    <row r="5">
      <c r="A5" t="inlineStr">
        <is>
          <t>Devon</t>
        </is>
      </c>
      <c r="B5" t="n">
        <v>100</v>
      </c>
      <c r="C5" t="n">
        <v>95</v>
      </c>
    </row>
    <row r="6">
      <c r="A6" t="inlineStr">
        <is>
          <t>Eloise</t>
        </is>
      </c>
      <c r="B6" t="n">
        <v>80</v>
      </c>
      <c r="C6" t="n">
        <v>90</v>
      </c>
    </row>
    <row r="30">
      <c r="A30">
        <f t="array" ref="A30:C30">SORTN(A2:C6)</f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Test 1 score</t>
        </is>
      </c>
      <c r="C1" t="inlineStr">
        <is>
          <t>Test 2 score</t>
        </is>
      </c>
      <c r="Z1">
        <f>1111+2222</f>
        <v/>
      </c>
    </row>
    <row r="2">
      <c r="A2" t="inlineStr">
        <is>
          <t>Alice</t>
        </is>
      </c>
      <c r="B2" t="n">
        <v>100</v>
      </c>
      <c r="C2" t="n">
        <v>90</v>
      </c>
    </row>
    <row r="3">
      <c r="A3" t="inlineStr">
        <is>
          <t>Bob</t>
        </is>
      </c>
      <c r="B3" t="n">
        <v>75</v>
      </c>
      <c r="C3" t="n">
        <v>85</v>
      </c>
    </row>
    <row r="4">
      <c r="A4" t="inlineStr">
        <is>
          <t>Carol</t>
        </is>
      </c>
      <c r="B4" t="n">
        <v>80</v>
      </c>
      <c r="C4" t="n">
        <v>85</v>
      </c>
    </row>
    <row r="5">
      <c r="A5" t="inlineStr">
        <is>
          <t>Devon</t>
        </is>
      </c>
      <c r="B5" t="n">
        <v>100</v>
      </c>
      <c r="C5" t="n">
        <v>95</v>
      </c>
    </row>
    <row r="6">
      <c r="A6" t="inlineStr">
        <is>
          <t>Eloise</t>
        </is>
      </c>
      <c r="B6" t="n">
        <v>80</v>
      </c>
      <c r="C6" t="n">
        <v>90</v>
      </c>
    </row>
    <row r="30">
      <c r="A30">
        <f t="array" ref="A30:C31">SORTN(A2:C6, 2)</f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Test 1 score</t>
        </is>
      </c>
      <c r="C1" t="inlineStr">
        <is>
          <t>Test 2 score</t>
        </is>
      </c>
      <c r="Z1">
        <f>1111+2222</f>
        <v/>
      </c>
    </row>
    <row r="2">
      <c r="A2" t="inlineStr">
        <is>
          <t>Alice</t>
        </is>
      </c>
      <c r="B2" t="n">
        <v>100</v>
      </c>
      <c r="C2" t="n">
        <v>90</v>
      </c>
    </row>
    <row r="3">
      <c r="A3" t="inlineStr">
        <is>
          <t>Bob</t>
        </is>
      </c>
      <c r="B3" t="n">
        <v>75</v>
      </c>
      <c r="C3" t="n">
        <v>85</v>
      </c>
    </row>
    <row r="4">
      <c r="A4" t="inlineStr">
        <is>
          <t>Carol</t>
        </is>
      </c>
      <c r="B4" t="n">
        <v>80</v>
      </c>
      <c r="C4" t="n">
        <v>85</v>
      </c>
    </row>
    <row r="5">
      <c r="A5" t="inlineStr">
        <is>
          <t>Devon</t>
        </is>
      </c>
      <c r="B5" t="n">
        <v>100</v>
      </c>
      <c r="C5" t="n">
        <v>95</v>
      </c>
    </row>
    <row r="6">
      <c r="A6" t="inlineStr">
        <is>
          <t>Eloise</t>
        </is>
      </c>
      <c r="B6" t="n">
        <v>80</v>
      </c>
      <c r="C6" t="n">
        <v>90</v>
      </c>
    </row>
    <row r="30">
      <c r="A30">
        <f t="array" ref="A30:C32">SORTN(A2:C6, 3, 0, B2:B6, FALSE)</f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Test 1 score</t>
        </is>
      </c>
      <c r="C1" t="inlineStr">
        <is>
          <t>Test 2 score</t>
        </is>
      </c>
      <c r="Z1">
        <f>1111+2222</f>
        <v/>
      </c>
    </row>
    <row r="2">
      <c r="A2" t="inlineStr">
        <is>
          <t>Alice</t>
        </is>
      </c>
      <c r="B2" t="n">
        <v>100</v>
      </c>
      <c r="C2" t="n">
        <v>90</v>
      </c>
    </row>
    <row r="3">
      <c r="A3" t="inlineStr">
        <is>
          <t>Bob</t>
        </is>
      </c>
      <c r="B3" t="n">
        <v>75</v>
      </c>
      <c r="C3" t="n">
        <v>85</v>
      </c>
    </row>
    <row r="4">
      <c r="A4" t="inlineStr">
        <is>
          <t>Carol</t>
        </is>
      </c>
      <c r="B4" t="n">
        <v>80</v>
      </c>
      <c r="C4" t="n">
        <v>85</v>
      </c>
    </row>
    <row r="5">
      <c r="A5" t="inlineStr">
        <is>
          <t>Devon</t>
        </is>
      </c>
      <c r="B5" t="n">
        <v>100</v>
      </c>
      <c r="C5" t="n">
        <v>95</v>
      </c>
    </row>
    <row r="6">
      <c r="A6" t="inlineStr">
        <is>
          <t>Eloise</t>
        </is>
      </c>
      <c r="B6" t="n">
        <v>80</v>
      </c>
      <c r="C6" t="n">
        <v>90</v>
      </c>
    </row>
    <row r="30">
      <c r="A30">
        <f t="array" ref="A30:C33">SORTN(A2:C6, 3, 1, B2:B6, FALSE)</f>
        <v/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Test 1 score</t>
        </is>
      </c>
      <c r="C1" t="inlineStr">
        <is>
          <t>Test 2 score</t>
        </is>
      </c>
      <c r="Z1">
        <f>1111+2222</f>
        <v/>
      </c>
    </row>
    <row r="2">
      <c r="A2" t="inlineStr">
        <is>
          <t>Alice</t>
        </is>
      </c>
      <c r="B2" t="n">
        <v>100</v>
      </c>
      <c r="C2" t="n">
        <v>90</v>
      </c>
    </row>
    <row r="3">
      <c r="A3" t="inlineStr">
        <is>
          <t>Bob</t>
        </is>
      </c>
      <c r="B3" t="n">
        <v>75</v>
      </c>
      <c r="C3" t="n">
        <v>85</v>
      </c>
    </row>
    <row r="4">
      <c r="A4" t="inlineStr">
        <is>
          <t>Carol</t>
        </is>
      </c>
      <c r="B4" t="n">
        <v>80</v>
      </c>
      <c r="C4" t="n">
        <v>85</v>
      </c>
    </row>
    <row r="5">
      <c r="A5" t="inlineStr">
        <is>
          <t>Devon</t>
        </is>
      </c>
      <c r="B5" t="n">
        <v>100</v>
      </c>
      <c r="C5" t="n">
        <v>95</v>
      </c>
    </row>
    <row r="6">
      <c r="A6" t="inlineStr">
        <is>
          <t>Eloise</t>
        </is>
      </c>
      <c r="B6" t="n">
        <v>80</v>
      </c>
      <c r="C6" t="n">
        <v>90</v>
      </c>
    </row>
    <row r="30">
      <c r="A30">
        <f t="array" ref="A30:C32">SORTN(A2:C6, 3, 2, B2:B6, FALSE)</f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Test 1 score</t>
        </is>
      </c>
      <c r="C1" t="inlineStr">
        <is>
          <t>Test 2 score</t>
        </is>
      </c>
      <c r="Z1">
        <f>1111+2222</f>
        <v/>
      </c>
    </row>
    <row r="2">
      <c r="A2" t="inlineStr">
        <is>
          <t>Alice</t>
        </is>
      </c>
      <c r="B2" t="n">
        <v>100</v>
      </c>
      <c r="C2" t="n">
        <v>90</v>
      </c>
    </row>
    <row r="3">
      <c r="A3" t="inlineStr">
        <is>
          <t>Bob</t>
        </is>
      </c>
      <c r="B3" t="n">
        <v>75</v>
      </c>
      <c r="C3" t="n">
        <v>85</v>
      </c>
    </row>
    <row r="4">
      <c r="A4" t="inlineStr">
        <is>
          <t>Carol</t>
        </is>
      </c>
      <c r="B4" t="n">
        <v>80</v>
      </c>
      <c r="C4" t="n">
        <v>85</v>
      </c>
    </row>
    <row r="5">
      <c r="A5" t="inlineStr">
        <is>
          <t>Devon</t>
        </is>
      </c>
      <c r="B5" t="n">
        <v>100</v>
      </c>
      <c r="C5" t="n">
        <v>95</v>
      </c>
    </row>
    <row r="6">
      <c r="A6" t="inlineStr">
        <is>
          <t>Eloise</t>
        </is>
      </c>
      <c r="B6" t="n">
        <v>80</v>
      </c>
      <c r="C6" t="n">
        <v>90</v>
      </c>
    </row>
    <row r="30">
      <c r="A30">
        <f t="array" ref="A30:C34">SORTN(A2:C6, 3, 3, B2:B6, FALSE)</f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Test 1 score</t>
        </is>
      </c>
      <c r="C1" t="inlineStr">
        <is>
          <t>Test 2 score</t>
        </is>
      </c>
      <c r="Z1">
        <f>1111+2222</f>
        <v/>
      </c>
    </row>
    <row r="2">
      <c r="A2" t="inlineStr">
        <is>
          <t>Alice</t>
        </is>
      </c>
      <c r="B2" t="n">
        <v>100</v>
      </c>
      <c r="C2" t="n">
        <v>90</v>
      </c>
    </row>
    <row r="3">
      <c r="A3" t="inlineStr">
        <is>
          <t>Bob</t>
        </is>
      </c>
      <c r="B3" t="n">
        <v>75</v>
      </c>
      <c r="C3" t="n">
        <v>85</v>
      </c>
    </row>
    <row r="4">
      <c r="A4" t="inlineStr">
        <is>
          <t>Carol</t>
        </is>
      </c>
      <c r="B4" t="n">
        <v>80</v>
      </c>
      <c r="C4" t="n">
        <v>85</v>
      </c>
    </row>
    <row r="5">
      <c r="A5" t="inlineStr">
        <is>
          <t>Devon</t>
        </is>
      </c>
      <c r="B5" t="n">
        <v>100</v>
      </c>
      <c r="C5" t="n">
        <v>95</v>
      </c>
    </row>
    <row r="6">
      <c r="A6" t="inlineStr">
        <is>
          <t>Eloise</t>
        </is>
      </c>
      <c r="B6" t="n">
        <v>80</v>
      </c>
      <c r="C6" t="n">
        <v>90</v>
      </c>
    </row>
    <row r="30">
      <c r="A30">
        <f t="array" ref="A30:C32">SORTN(A2:C6, 3, 3, 2, FALSE, 3, FALSE)</f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Z1">
        <f>1111+2222</f>
        <v/>
      </c>
    </row>
    <row r="30">
      <c r="A30">
        <f t="array" ref="A30:C30">SPLIT("Alas, poor Yorick"," ")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Z1">
        <f>1111+2222</f>
        <v/>
      </c>
    </row>
    <row r="30">
      <c r="A30">
        <f t="array" ref="A30:B30">SPLIT("mother","the")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Z1">
        <f>1111+2222</f>
        <v/>
      </c>
    </row>
    <row r="30">
      <c r="A30">
        <f t="array" ref="A30:B30">SPLIT("a-the-b","the",FALSE)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COLUMNS(SPLIT("a,,b",","))</f>
        <v/>
      </c>
      <c r="Z1">
        <f>1111+2222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COLUMNS(SPLIT("a,,b",",",TRUE,FALSE))</f>
        <v/>
      </c>
      <c r="Z1">
        <f>1111+2222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COUNTIF(SPLIT("a-b-c","-"),"*-*")</f>
        <v/>
      </c>
      <c r="Z1">
        <f>1111+2222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2026-09-01T00:06:06Z</dcterms:created>
  <dcterms:modified xmlns:dcterms="http://purl.org/dc/terms/" xmlns:xsi="http://www.w3.org/2001/XMLSchema-instance" xsi:type="dcterms:W3CDTF">2026-09-01T00:06:06Z</dcterms:modified>
</cp:coreProperties>
</file>