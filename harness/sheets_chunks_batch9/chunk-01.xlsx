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RTD_no_realtime_server_probe" sheetId="2" state="visible" r:id="rId2"/>
    <sheet xmlns:r="http://schemas.openxmlformats.org/officeDocument/2006/relationships" name="SEARCHB_documented_start_num" sheetId="3" state="visible" r:id="rId3"/>
    <sheet xmlns:r="http://schemas.openxmlformats.org/officeDocument/2006/relationships" name="SEARCHB_documented_cell_as_find" sheetId="4" state="visible" r:id="rId4"/>
    <sheet xmlns:r="http://schemas.openxmlformats.org/officeDocument/2006/relationships" name="SEARCHB_start_num_omitted" sheetId="5" state="visible" r:id="rId5"/>
    <sheet xmlns:r="http://schemas.openxmlformats.org/officeDocument/2006/relationships" name="SEARCHB_text_not_found" sheetId="6" state="visible" r:id="rId6"/>
    <sheet xmlns:r="http://schemas.openxmlformats.org/officeDocument/2006/relationships" name="SEARCHB_start_num_beyond_length" sheetId="7" state="visible" r:id="rId7"/>
    <sheet xmlns:r="http://schemas.openxmlformats.org/officeDocument/2006/relationships" name="SEARCHB_wildcard_question_mark" sheetId="8" state="visible" r:id="rId8"/>
    <sheet xmlns:r="http://schemas.openxmlformats.org/officeDocument/2006/relationships" name="SEARCHB_double_byte_probe" sheetId="9" state="visible" r:id="rId9"/>
    <sheet xmlns:r="http://schemas.openxmlformats.org/officeDocument/2006/relationships" name="SEARCHB_documentation_has_been_" sheetId="10" state="visible" r:id="rId10"/>
    <sheet xmlns:r="http://schemas.openxmlformats.org/officeDocument/2006/relationships" name="SEC_documented_45" sheetId="11" state="visible" r:id="rId11"/>
    <sheet xmlns:r="http://schemas.openxmlformats.org/officeDocument/2006/relationships" name="SEC_documented_30" sheetId="12" state="visible" r:id="rId12"/>
    <sheet xmlns:r="http://schemas.openxmlformats.org/officeDocument/2006/relationships" name="SEC_full_precision_45" sheetId="13" state="visible" r:id="rId13"/>
    <sheet xmlns:r="http://schemas.openxmlformats.org/officeDocument/2006/relationships" name="SEC_degrees_conversion_identity" sheetId="14" state="visible" r:id="rId14"/>
    <sheet xmlns:r="http://schemas.openxmlformats.org/officeDocument/2006/relationships" name="SEC_nonnumeric_argument" sheetId="15" state="visible" r:id="rId15"/>
    <sheet xmlns:r="http://schemas.openxmlformats.org/officeDocument/2006/relationships" name="SEC_argument_outside_documented" sheetId="16" state="visible" r:id="rId16"/>
    <sheet xmlns:r="http://schemas.openxmlformats.org/officeDocument/2006/relationships" name="SECH_documented_45" sheetId="17" state="visible" r:id="rId17"/>
    <sheet xmlns:r="http://schemas.openxmlformats.org/officeDocument/2006/relationships" name="SECH_documented_30" sheetId="18" state="visible" r:id="rId18"/>
    <sheet xmlns:r="http://schemas.openxmlformats.org/officeDocument/2006/relationships" name="SECH_zero_is_exactly_one" sheetId="19" state="visible" r:id="rId19"/>
    <sheet xmlns:r="http://schemas.openxmlformats.org/officeDocument/2006/relationships" name="SECH_is_even" sheetId="20" state="visible" r:id="rId20"/>
    <sheet xmlns:r="http://schemas.openxmlformats.org/officeDocument/2006/relationships" name="SECH_nonnumeric_argument" sheetId="21" state="visible" r:id="rId21"/>
    <sheet xmlns:r="http://schemas.openxmlformats.org/officeDocument/2006/relationships" name="SECH_argument_outside_documente" sheetId="22" state="visible" r:id="rId22"/>
    <sheet xmlns:r="http://schemas.openxmlformats.org/officeDocument/2006/relationships" name="SERIESSUM_documented_cosine_app" sheetId="23" state="visible" r:id="rId23"/>
    <sheet xmlns:r="http://schemas.openxmlformats.org/officeDocument/2006/relationships" name="SERIESSUM_full_precision" sheetId="24" state="visible" r:id="rId24"/>
    <sheet xmlns:r="http://schemas.openxmlformats.org/officeDocument/2006/relationships" name="SERIESSUM_geometric_series_stru" sheetId="25" state="visible" r:id="rId25"/>
    <sheet xmlns:r="http://schemas.openxmlformats.org/officeDocument/2006/relationships" name="SERIESSUM_coefficient_order_str" sheetId="26" state="visible" r:id="rId26"/>
    <sheet xmlns:r="http://schemas.openxmlformats.org/officeDocument/2006/relationships" name="SERIESSUM_nonnumeric_argument" sheetId="27" state="visible" r:id="rId27"/>
    <sheet xmlns:r="http://schemas.openxmlformats.org/officeDocument/2006/relationships" name="SIN_documented_pi_is_only_appro" sheetId="28" state="visible" r:id="rId28"/>
    <sheet xmlns:r="http://schemas.openxmlformats.org/officeDocument/2006/relationships" name="SIN_documented_pi_over_two" sheetId="29" state="visible" r:id="rId29"/>
    <sheet xmlns:r="http://schemas.openxmlformats.org/officeDocument/2006/relationships" name="SIN_documented_thirty_degrees" sheetId="30" state="visible" r:id="rId30"/>
    <sheet xmlns:r="http://schemas.openxmlformats.org/officeDocument/2006/relationships" name="SIN_documented_radians_function" sheetId="31" state="visible" r:id="rId31"/>
    <sheet xmlns:r="http://schemas.openxmlformats.org/officeDocument/2006/relationships" name="SIN_is_odd" sheetId="32" state="visible" r:id="rId32"/>
    <sheet xmlns:r="http://schemas.openxmlformats.org/officeDocument/2006/relationships" name="SINH_documented_example" sheetId="33" state="visible" r:id="rId33"/>
    <sheet xmlns:r="http://schemas.openxmlformats.org/officeDocument/2006/relationships" name="SINH_full_precision" sheetId="34" state="visible" r:id="rId34"/>
    <sheet xmlns:r="http://schemas.openxmlformats.org/officeDocument/2006/relationships" name="SINH_zero_is_exactly_zero" sheetId="35" state="visible" r:id="rId35"/>
    <sheet xmlns:r="http://schemas.openxmlformats.org/officeDocument/2006/relationships" name="SINH_is_odd" sheetId="36" state="visible" r:id="rId36"/>
    <sheet xmlns:r="http://schemas.openxmlformats.org/officeDocument/2006/relationships" name="SINH_identity_against_exponenti" sheetId="37" state="visible" r:id="rId37"/>
    <sheet xmlns:r="http://schemas.openxmlformats.org/officeDocument/2006/relationships" name="SKEW.P_documented_example" sheetId="38" state="visible" r:id="rId38"/>
    <sheet xmlns:r="http://schemas.openxmlformats.org/officeDocument/2006/relationships" name="SKEW.P_full_precision" sheetId="39" state="visible" r:id="rId39"/>
    <sheet xmlns:r="http://schemas.openxmlformats.org/officeDocument/2006/relationships" name="SKEW.P_differs_from_sample_SKEW" sheetId="40" state="visible" r:id="rId40"/>
    <sheet xmlns:r="http://schemas.openxmlformats.org/officeDocument/2006/relationships" name="SKEW.P_symmetric_data_is_zero" sheetId="41" state="visible" r:id="rId41"/>
    <sheet xmlns:r="http://schemas.openxmlformats.org/officeDocument/2006/relationships" name="SKEW.P_two_points_is_div_zero" sheetId="42" state="visible" r:id="rId42"/>
    <sheet xmlns:r="http://schemas.openxmlformats.org/officeDocument/2006/relationships" name="SKEW.P_zero_variance_is_div_zer" sheetId="43" state="visible" r:id="rId43"/>
    <sheet xmlns:r="http://schemas.openxmlformats.org/officeDocument/2006/relationships" name="SQRTPI_documented_one" sheetId="44" state="visible" r:id="rId44"/>
    <sheet xmlns:r="http://schemas.openxmlformats.org/officeDocument/2006/relationships" name="SQRTPI_documented_two" sheetId="45" state="visible" r:id="rId45"/>
    <sheet xmlns:r="http://schemas.openxmlformats.org/officeDocument/2006/relationships" name="SQRTPI_full_precision_two" sheetId="46" state="visible" r:id="rId46"/>
    <sheet xmlns:r="http://schemas.openxmlformats.org/officeDocument/2006/relationships" name="SQRTPI_zero" sheetId="47" state="visible" r:id="rId47"/>
    <sheet xmlns:r="http://schemas.openxmlformats.org/officeDocument/2006/relationships" name="SQRTPI_squares_back_to_pi" sheetId="48" state="visible" r:id="rId48"/>
    <sheet xmlns:r="http://schemas.openxmlformats.org/officeDocument/2006/relationships" name="SQRTPI_negative_argument" sheetId="49" state="visible" r:id="rId49"/>
    <sheet xmlns:r="http://schemas.openxmlformats.org/officeDocument/2006/relationships" name="STEYX_documented_example" sheetId="50" state="visible" r:id="rId50"/>
    <sheet xmlns:r="http://schemas.openxmlformats.org/officeDocument/2006/relationships" name="STEYX_full_precision" sheetId="51" state="visible" r:id="rId51"/>
    <sheet xmlns:r="http://schemas.openxmlformats.org/officeDocument/2006/relationships" name="STEYX_argument_order_is_y_then_" sheetId="52" state="visible" r:id="rId52"/>
    <sheet xmlns:r="http://schemas.openxmlformats.org/officeDocument/2006/relationships" name="STEYX_mismatched_lengths" sheetId="53" state="visible" r:id="rId53"/>
    <sheet xmlns:r="http://schemas.openxmlformats.org/officeDocument/2006/relationships" name="STEYX_two_points_is_div_zero" sheetId="54" state="visible" r:id="rId54"/>
    <sheet xmlns:r="http://schemas.openxmlformats.org/officeDocument/2006/relationships" name="STOCKHISTORY_market_data_probe" sheetId="55" state="visible" r:id="rId55"/>
    <sheet xmlns:r="http://schemas.openxmlformats.org/officeDocument/2006/relationships" name="SUMX2MY2_documented_array_const" sheetId="56" state="visible" r:id="rId56"/>
    <sheet xmlns:r="http://schemas.openxmlformats.org/officeDocument/2006/relationships" name="SUMX2MY2_documented_range_corre" sheetId="57" state="visible" r:id="rId57"/>
    <sheet xmlns:r="http://schemas.openxmlformats.org/officeDocument/2006/relationships" name="SUMX2MY2_published_range_is_off" sheetId="58" state="visible" r:id="rId58"/>
    <sheet xmlns:r="http://schemas.openxmlformats.org/officeDocument/2006/relationships" name="SUMX2MY2_mismatched_lengths" sheetId="59" state="visible" r:id="rId59"/>
    <sheet xmlns:r="http://schemas.openxmlformats.org/officeDocument/2006/relationships" name="SUMX2MY2_identity_against_sumsq" sheetId="60" state="visible" r:id="rId60"/>
    <sheet xmlns:r="http://schemas.openxmlformats.org/officeDocument/2006/relationships" name="SUMX2PY2_documented_range" sheetId="61" state="visible" r:id="rId61"/>
    <sheet xmlns:r="http://schemas.openxmlformats.org/officeDocument/2006/relationships" name="SUMX2PY2_documented_array_const" sheetId="62" state="visible" r:id="rId62"/>
    <sheet xmlns:r="http://schemas.openxmlformats.org/officeDocument/2006/relationships" name="SUMX2PY2_mismatched_lengths" sheetId="63" state="visible" r:id="rId63"/>
    <sheet xmlns:r="http://schemas.openxmlformats.org/officeDocument/2006/relationships" name="SUMX2PY2_identity_against_sumsq" sheetId="64" state="visible" r:id="rId64"/>
    <sheet xmlns:r="http://schemas.openxmlformats.org/officeDocument/2006/relationships" name="SUMX2PY2_pythagorean_structural" sheetId="65" state="visible" r:id="rId65"/>
    <sheet xmlns:r="http://schemas.openxmlformats.org/officeDocument/2006/relationships" name="SUMXMY2_documented_range" sheetId="66" state="visible" r:id="rId66"/>
    <sheet xmlns:r="http://schemas.openxmlformats.org/officeDocument/2006/relationships" name="SUMXMY2_documented_array_consta" sheetId="67" state="visible" r:id="rId67"/>
    <sheet xmlns:r="http://schemas.openxmlformats.org/officeDocument/2006/relationships" name="SUMXMY2_mismatched_lengths" sheetId="68" state="visible" r:id="rId68"/>
    <sheet xmlns:r="http://schemas.openxmlformats.org/officeDocument/2006/relationships" name="SUMXMY2_is_symmetric" sheetId="69" state="visible" r:id="rId69"/>
    <sheet xmlns:r="http://schemas.openxmlformats.org/officeDocument/2006/relationships" name="SUMXMY2_identity_against_sumpro" sheetId="70" state="visible" r:id="rId70"/>
    <sheet xmlns:r="http://schemas.openxmlformats.org/officeDocument/2006/relationships" name="T.DIST_documented_cumulative" sheetId="71" state="visible" r:id="rId71"/>
    <sheet xmlns:r="http://schemas.openxmlformats.org/officeDocument/2006/relationships" name="T.DIST_documented_density" sheetId="72" state="visible" r:id="rId72"/>
    <sheet xmlns:r="http://schemas.openxmlformats.org/officeDocument/2006/relationships" name="T.DIST_full_precision_cumulativ" sheetId="73" state="visible" r:id="rId73"/>
    <sheet xmlns:r="http://schemas.openxmlformats.org/officeDocument/2006/relationships" name="T.DIST_symmetry_identity" sheetId="74" state="visible" r:id="rId74"/>
    <sheet xmlns:r="http://schemas.openxmlformats.org/officeDocument/2006/relationships" name="T.DIST_density_is_even" sheetId="75" state="visible" r:id="rId75"/>
    <sheet xmlns:r="http://schemas.openxmlformats.org/officeDocument/2006/relationships" name="T.DIST_deg_freedom_below_one" sheetId="76" state="visible" r:id="rId76"/>
    <sheet xmlns:r="http://schemas.openxmlformats.org/officeDocument/2006/relationships" name="T.DIST.2T_documented_example" sheetId="77" state="visible" r:id="rId77"/>
    <sheet xmlns:r="http://schemas.openxmlformats.org/officeDocument/2006/relationships" name="T.DIST.2T_full_precision" sheetId="78" state="visible" r:id="rId78"/>
    <sheet xmlns:r="http://schemas.openxmlformats.org/officeDocument/2006/relationships" name="T.DIST.2T_is_twice_T.DIST.RT" sheetId="79" state="visible" r:id="rId79"/>
    <sheet xmlns:r="http://schemas.openxmlformats.org/officeDocument/2006/relationships" name="T.DIST.2T_negative_x" sheetId="80" state="visible" r:id="rId80"/>
    <sheet xmlns:r="http://schemas.openxmlformats.org/officeDocument/2006/relationships" name="T.DIST.2T_deg_freedom_below_one" sheetId="81" state="visible" r:id="rId81"/>
    <sheet xmlns:r="http://schemas.openxmlformats.org/officeDocument/2006/relationships" name="T.DIST.2T_nonnumeric_argument" sheetId="82" state="visible" r:id="rId82"/>
    <sheet xmlns:r="http://schemas.openxmlformats.org/officeDocument/2006/relationships" name="T.DIST.RT_documented_example" sheetId="83" state="visible" r:id="rId83"/>
    <sheet xmlns:r="http://schemas.openxmlformats.org/officeDocument/2006/relationships" name="T.DIST.RT_full_precision" sheetId="84" state="visible" r:id="rId84"/>
    <sheet xmlns:r="http://schemas.openxmlformats.org/officeDocument/2006/relationships" name="T.DIST.RT_complements_T.DIST" sheetId="85" state="visible" r:id="rId85"/>
    <sheet xmlns:r="http://schemas.openxmlformats.org/officeDocument/2006/relationships" name="T.DIST.RT_negative_x_is_allowed" sheetId="86" state="visible" r:id="rId86"/>
    <sheet xmlns:r="http://schemas.openxmlformats.org/officeDocument/2006/relationships" name="T.DIST.RT_deg_freedom_below_one" sheetId="87" state="visible" r:id="rId87"/>
    <sheet xmlns:r="http://schemas.openxmlformats.org/officeDocument/2006/relationships" name="T.DIST.RT_nonnumeric_argument" sheetId="88" state="visible" r:id="rId88"/>
    <sheet xmlns:r="http://schemas.openxmlformats.org/officeDocument/2006/relationships" name="T.INV_documented_example" sheetId="89" state="visible" r:id="rId89"/>
    <sheet xmlns:r="http://schemas.openxmlformats.org/officeDocument/2006/relationships" name="T.INV_full_precision" sheetId="90" state="visible" r:id="rId90"/>
    <sheet xmlns:r="http://schemas.openxmlformats.org/officeDocument/2006/relationships" name="T.INV_median_is_zero" sheetId="91" state="visible" r:id="rId91"/>
    <sheet xmlns:r="http://schemas.openxmlformats.org/officeDocument/2006/relationships" name="T.INV_round_trips_through_T.DIS" sheetId="92" state="visible" r:id="rId92"/>
    <sheet xmlns:r="http://schemas.openxmlformats.org/officeDocument/2006/relationships" name="T.INV_is_left_tailed_not_two_ta" sheetId="93" state="visible" r:id="rId93"/>
    <sheet xmlns:r="http://schemas.openxmlformats.org/officeDocument/2006/relationships" name="T.INV_probability_out_of_range" sheetId="94" state="visible" r:id="rId94"/>
    <sheet xmlns:r="http://schemas.openxmlformats.org/officeDocument/2006/relationships" name="T.INV_deg_freedom_below_one" sheetId="95" state="visible" r:id="rId95"/>
    <sheet xmlns:r="http://schemas.openxmlformats.org/officeDocument/2006/relationships" name="T.INV.2T_documented_example" sheetId="96" state="visible" r:id="rId96"/>
    <sheet xmlns:r="http://schemas.openxmlformats.org/officeDocument/2006/relationships" name="T.INV.2T_full_precision" sheetId="97" state="visible" r:id="rId97"/>
    <sheet xmlns:r="http://schemas.openxmlformats.org/officeDocument/2006/relationships" name="T.INV.2T_documented_remark_figu" sheetId="98" state="visible" r:id="rId98"/>
    <sheet xmlns:r="http://schemas.openxmlformats.org/officeDocument/2006/relationships" name="T.INV.2T_documented_remark_seco" sheetId="99" state="visible" r:id="rId99"/>
    <sheet xmlns:r="http://schemas.openxmlformats.org/officeDocument/2006/relationships" name="T.INV.2T_round_trips_through_T." sheetId="100" state="visible" r:id="rId100"/>
    <sheet xmlns:r="http://schemas.openxmlformats.org/officeDocument/2006/relationships" name="T.INV.2T_probability_out_of_ran" sheetId="101" state="visible" r:id="rId101"/>
    <sheet xmlns:r="http://schemas.openxmlformats.org/officeDocument/2006/relationships" name="T.INV.2T_deg_freedom_below_one" sheetId="102" state="visible" r:id="rId102"/>
    <sheet xmlns:r="http://schemas.openxmlformats.org/officeDocument/2006/relationships" name="T.TEST_documented_paired_two_ta" sheetId="103" state="visible" r:id="rId103"/>
    <sheet xmlns:r="http://schemas.openxmlformats.org/officeDocument/2006/relationships" name="T.TEST_full_precision" sheetId="104" state="visible" r:id="rId104"/>
    <sheet xmlns:r="http://schemas.openxmlformats.org/officeDocument/2006/relationships" name="T.TEST_two_tails_is_twice_one_t" sheetId="105" state="visible" r:id="rId105"/>
    <sheet xmlns:r="http://schemas.openxmlformats.org/officeDocument/2006/relationships" name="T.TEST_type_2_equal_variance" sheetId="106" state="visible" r:id="rId106"/>
    <sheet xmlns:r="http://schemas.openxmlformats.org/officeDocument/2006/relationships" name="T.TEST_type_3_unequal_variance" sheetId="107" state="visible" r:id="rId107"/>
    <sheet xmlns:r="http://schemas.openxmlformats.org/officeDocument/2006/relationships" name="T.TEST_paired_mismatched_length" sheetId="108" state="visible" r:id="rId108"/>
    <sheet xmlns:r="http://schemas.openxmlformats.org/officeDocument/2006/relationships" name="T.TEST_invalid_tails" sheetId="109" state="visible" r:id="rId109"/>
    <sheet xmlns:r="http://schemas.openxmlformats.org/officeDocument/2006/relationships" name="T.TEST_nonnumeric_tails" sheetId="110" state="visible" r:id="rId110"/>
    <sheet xmlns:r="http://schemas.openxmlformats.org/officeDocument/2006/relationships" name="TAN_documented_radians" sheetId="111" state="visible" r:id="rId111"/>
    <sheet xmlns:r="http://schemas.openxmlformats.org/officeDocument/2006/relationships" name="TAN_documented_forty_five_degre" sheetId="112" state="visible" r:id="rId112"/>
    <sheet xmlns:r="http://schemas.openxmlformats.org/officeDocument/2006/relationships" name="TAN_documented_radians_function" sheetId="113" state="visible" r:id="rId113"/>
    <sheet xmlns:r="http://schemas.openxmlformats.org/officeDocument/2006/relationships" name="TAN_full_precision" sheetId="114" state="visible" r:id="rId114"/>
    <sheet xmlns:r="http://schemas.openxmlformats.org/officeDocument/2006/relationships" name="TAN_quotient_identity" sheetId="115" state="visible" r:id="rId115"/>
    <sheet xmlns:r="http://schemas.openxmlformats.org/officeDocument/2006/relationships" name="TANH_documented_negative_two" sheetId="116" state="visible" r:id="rId116"/>
    <sheet xmlns:r="http://schemas.openxmlformats.org/officeDocument/2006/relationships" name="TANH_documented_zero" sheetId="117" state="visible" r:id="rId117"/>
    <sheet xmlns:r="http://schemas.openxmlformats.org/officeDocument/2006/relationships" name="TANH_documented_half" sheetId="118" state="visible" r:id="rId118"/>
    <sheet xmlns:r="http://schemas.openxmlformats.org/officeDocument/2006/relationships" name="TANH_full_precision_half" sheetId="119" state="visible" r:id="rId119"/>
    <sheet xmlns:r="http://schemas.openxmlformats.org/officeDocument/2006/relationships" name="TANH_quotient_identity" sheetId="120" state="visible" r:id="rId120"/>
    <sheet xmlns:r="http://schemas.openxmlformats.org/officeDocument/2006/relationships" name="TANH_is_odd" sheetId="121" state="visible" r:id="rId121"/>
    <sheet xmlns:r="http://schemas.openxmlformats.org/officeDocument/2006/relationships" name="TBILLEQ_documented_example" sheetId="122" state="visible" r:id="rId122"/>
    <sheet xmlns:r="http://schemas.openxmlformats.org/officeDocument/2006/relationships" name="TBILLEQ_full_precision" sheetId="123" state="visible" r:id="rId123"/>
    <sheet xmlns:r="http://schemas.openxmlformats.org/officeDocument/2006/relationships" name="TBILLEQ_discount_zero" sheetId="124" state="visible" r:id="rId124"/>
    <sheet xmlns:r="http://schemas.openxmlformats.org/officeDocument/2006/relationships" name="TBILLEQ_maturity_before_settlem" sheetId="125" state="visible" r:id="rId125"/>
    <sheet xmlns:r="http://schemas.openxmlformats.org/officeDocument/2006/relationships" name="TBILLEQ_maturity_more_than_one_" sheetId="126" state="visible" r:id="rId126"/>
    <sheet xmlns:r="http://schemas.openxmlformats.org/officeDocument/2006/relationships" name="TBILLEQ_invalid_date" sheetId="127" state="visible" r:id="rId127"/>
    <sheet xmlns:r="http://schemas.openxmlformats.org/officeDocument/2006/relationships" name="TBILLPRICE_documented_example" sheetId="128" state="visible" r:id="rId128"/>
    <sheet xmlns:r="http://schemas.openxmlformats.org/officeDocument/2006/relationships" name="TBILLPRICE_full_precision" sheetId="129" state="visible" r:id="rId129"/>
    <sheet xmlns:r="http://schemas.openxmlformats.org/officeDocument/2006/relationships" name="TBILLPRICE_inverts_TBILLYIELD" sheetId="130" state="visible" r:id="rId130"/>
    <sheet xmlns:r="http://schemas.openxmlformats.org/officeDocument/2006/relationships" name="TBILLPRICE_discount_zero" sheetId="131" state="visible" r:id="rId131"/>
    <sheet xmlns:r="http://schemas.openxmlformats.org/officeDocument/2006/relationships" name="TBILLPRICE_maturity_more_than_o" sheetId="132" state="visible" r:id="rId132"/>
    <sheet xmlns:r="http://schemas.openxmlformats.org/officeDocument/2006/relationships" name="TBILLPRICE_invalid_date" sheetId="133" state="visible" r:id="rId133"/>
    <sheet xmlns:r="http://schemas.openxmlformats.org/officeDocument/2006/relationships" name="TBILLYIELD_documented_example" sheetId="134" state="visible" r:id="rId134"/>
    <sheet xmlns:r="http://schemas.openxmlformats.org/officeDocument/2006/relationships" name="TBILLYIELD_full_precision" sheetId="135" state="visible" r:id="rId135"/>
    <sheet xmlns:r="http://schemas.openxmlformats.org/officeDocument/2006/relationships" name="TBILLYIELD_price_zero" sheetId="136" state="visible" r:id="rId136"/>
    <sheet xmlns:r="http://schemas.openxmlformats.org/officeDocument/2006/relationships" name="TBILLYIELD_settlement_equals_ma" sheetId="137" state="visible" r:id="rId137"/>
    <sheet xmlns:r="http://schemas.openxmlformats.org/officeDocument/2006/relationships" name="TBILLYIELD_maturity_more_than_o" sheetId="138" state="visible" r:id="rId138"/>
    <sheet xmlns:r="http://schemas.openxmlformats.org/officeDocument/2006/relationships" name="TBILLYIELD_invalid_date" sheetId="139" state="visible" r:id="rId139"/>
    <sheet xmlns:r="http://schemas.openxmlformats.org/officeDocument/2006/relationships" name="TDIST_documented_two_tailed" sheetId="140" state="visible" r:id="rId140"/>
    <sheet xmlns:r="http://schemas.openxmlformats.org/officeDocument/2006/relationships" name="TDIST_documented_one_tailed" sheetId="141" state="visible" r:id="rId141"/>
    <sheet xmlns:r="http://schemas.openxmlformats.org/officeDocument/2006/relationships" name="TDIST_matches_T.DIST.2T" sheetId="142" state="visible" r:id="rId142"/>
    <sheet xmlns:r="http://schemas.openxmlformats.org/officeDocument/2006/relationships" name="TDIST_matches_T.DIST.RT" sheetId="143" state="visible" r:id="rId143"/>
    <sheet xmlns:r="http://schemas.openxmlformats.org/officeDocument/2006/relationships" name="TDIST_negative_x" sheetId="144" state="visible" r:id="rId144"/>
    <sheet xmlns:r="http://schemas.openxmlformats.org/officeDocument/2006/relationships" name="TDIST_invalid_tails" sheetId="145" state="visible" r:id="rId145"/>
    <sheet xmlns:r="http://schemas.openxmlformats.org/officeDocument/2006/relationships" name="TDIST_deg_freedom_below_one" sheetId="146" state="visible" r:id="rId146"/>
    <sheet xmlns:r="http://schemas.openxmlformats.org/officeDocument/2006/relationships" name="TINV_documented_example" sheetId="147" state="visible" r:id="rId147"/>
    <sheet xmlns:r="http://schemas.openxmlformats.org/officeDocument/2006/relationships" name="TINV_full_precision" sheetId="148" state="visible" r:id="rId148"/>
    <sheet xmlns:r="http://schemas.openxmlformats.org/officeDocument/2006/relationships" name="TINV_documented_remark_figure_i" sheetId="149" state="visible" r:id="rId149"/>
    <sheet xmlns:r="http://schemas.openxmlformats.org/officeDocument/2006/relationships" name="TINV_documented_remark_second_f" sheetId="150" state="visible" r:id="rId150"/>
    <sheet xmlns:r="http://schemas.openxmlformats.org/officeDocument/2006/relationships" name="TINV_matches_T.INV.2T" sheetId="151" state="visible" r:id="rId151"/>
    <sheet xmlns:r="http://schemas.openxmlformats.org/officeDocument/2006/relationships" name="TINV_round_trips_through_TDIST" sheetId="152" state="visible" r:id="rId152"/>
    <sheet xmlns:r="http://schemas.openxmlformats.org/officeDocument/2006/relationships" name="TINV_probability_out_of_range" sheetId="153" state="visible" r:id="rId153"/>
    <sheet xmlns:r="http://schemas.openxmlformats.org/officeDocument/2006/relationships" name="TINV_deg_freedom_below_one" sheetId="154" state="visible" r:id="rId154"/>
    <sheet xmlns:r="http://schemas.openxmlformats.org/officeDocument/2006/relationships" name="TRANSLATE_service_probe" sheetId="155" state="visible" r:id="rId155"/>
    <sheet xmlns:r="http://schemas.openxmlformats.org/officeDocument/2006/relationships" name="TRIMRANGE_default_trims_leading" sheetId="156" state="visible" r:id="rId156"/>
    <sheet xmlns:r="http://schemas.openxmlformats.org/officeDocument/2006/relationships" name="TRIMRANGE_trim_none_keeps_the_b" sheetId="157" state="visible" r:id="rId157"/>
    <sheet xmlns:r="http://schemas.openxmlformats.org/officeDocument/2006/relationships" name="TRIMRANGE_counts_only_the_trimm" sheetId="158" state="visible" r:id="rId158"/>
    <sheet xmlns:r="http://schemas.openxmlformats.org/officeDocument/2006/relationships" name="TRIMRANGE_trimmed_range_has_two" sheetId="159" state="visible" r:id="rId159"/>
    <sheet xmlns:r="http://schemas.openxmlformats.org/officeDocument/2006/relationships" name="TRIMRANGE_trimmed_range_has_t~2" sheetId="160" state="visible" r:id="rId160"/>
    <sheet xmlns:r="http://schemas.openxmlformats.org/officeDocument/2006/relationships" name="TRIMRANGE_trim_leading_only_kee" sheetId="161" state="visible" r:id="rId161"/>
    <sheet xmlns:r="http://schemas.openxmlformats.org/officeDocument/2006/relationships" name="TRIMRANGE_trim_trailing_only_ke" sheetId="162" state="visible" r:id="rId162"/>
    <sheet xmlns:r="http://schemas.openxmlformats.org/officeDocument/2006/relationships" name="TTEST_documented_paired_two_tai" sheetId="163" state="visible" r:id="rId163"/>
    <sheet xmlns:r="http://schemas.openxmlformats.org/officeDocument/2006/relationships" name="TTEST_full_precision" sheetId="164" state="visible" r:id="rId164"/>
    <sheet xmlns:r="http://schemas.openxmlformats.org/officeDocument/2006/relationships" name="TTEST_matches_T.TEST" sheetId="165" state="visible" r:id="rId165"/>
    <sheet xmlns:r="http://schemas.openxmlformats.org/officeDocument/2006/relationships" name="TTEST_matches_T.TEST_type_3" sheetId="166" state="visible" r:id="rId166"/>
    <sheet xmlns:r="http://schemas.openxmlformats.org/officeDocument/2006/relationships" name="TTEST_paired_mismatched_lengths" sheetId="167" state="visible" r:id="rId167"/>
    <sheet xmlns:r="http://schemas.openxmlformats.org/officeDocument/2006/relationships" name="TTEST_invalid_tails" sheetId="168" state="visible" r:id="rId168"/>
    <sheet xmlns:r="http://schemas.openxmlformats.org/officeDocument/2006/relationships" name="VALUETOTEXT_concise_boolean" sheetId="169" state="visible" r:id="rId169"/>
    <sheet xmlns:r="http://schemas.openxmlformats.org/officeDocument/2006/relationships" name="VALUETOTEXT_concise_number" sheetId="170" state="visible" r:id="rId170"/>
    <sheet xmlns:r="http://schemas.openxmlformats.org/officeDocument/2006/relationships" name="VALUETOTEXT_concise_text_is_unq" sheetId="171" state="visible" r:id="rId171"/>
    <sheet xmlns:r="http://schemas.openxmlformats.org/officeDocument/2006/relationships" name="VALUETOTEXT_strict_text_is_quot" sheetId="172" state="visible" r:id="rId172"/>
    <sheet xmlns:r="http://schemas.openxmlformats.org/officeDocument/2006/relationships" name="VALUETOTEXT_strict_second_text" sheetId="173" state="visible" r:id="rId173"/>
    <sheet xmlns:r="http://schemas.openxmlformats.org/officeDocument/2006/relationships" name="VALUETOTEXT_invalid_format" sheetId="174" state="visible" r:id="rId174"/>
    <sheet xmlns:r="http://schemas.openxmlformats.org/officeDocument/2006/relationships" name="VALUETOTEXT_error_value_row_not" sheetId="175" state="visible" r:id="rId175"/>
    <sheet xmlns:r="http://schemas.openxmlformats.org/officeDocument/2006/relationships" name="WEIBULL_documented_cumulative" sheetId="176" state="visible" r:id="rId176"/>
    <sheet xmlns:r="http://schemas.openxmlformats.org/officeDocument/2006/relationships" name="WEIBULL_documented_density" sheetId="177" state="visible" r:id="rId177"/>
    <sheet xmlns:r="http://schemas.openxmlformats.org/officeDocument/2006/relationships" name="WEIBULL_full_precision_cumulati" sheetId="178" state="visible" r:id="rId178"/>
    <sheet xmlns:r="http://schemas.openxmlformats.org/officeDocument/2006/relationships" name="WEIBULL_matches_WEIBULL.DIST" sheetId="179" state="visible" r:id="rId179"/>
    <sheet xmlns:r="http://schemas.openxmlformats.org/officeDocument/2006/relationships" name="WEIBULL_alpha_one_is_exponentia" sheetId="180" state="visible" r:id="rId180"/>
    <sheet xmlns:r="http://schemas.openxmlformats.org/officeDocument/2006/relationships" name="WEIBULL_x_negative" sheetId="181" state="visible" r:id="rId181"/>
    <sheet xmlns:r="http://schemas.openxmlformats.org/officeDocument/2006/relationships" name="WEIBULL_alpha_zero" sheetId="182" state="visible" r:id="rId182"/>
    <sheet xmlns:r="http://schemas.openxmlformats.org/officeDocument/2006/relationships" name="WEIBULL_nonnumeric_argument" sheetId="183" state="visible" r:id="rId183"/>
    <sheet xmlns:r="http://schemas.openxmlformats.org/officeDocument/2006/relationships" name="WEIBULL.DIST_documented_cumulat" sheetId="184" state="visible" r:id="rId184"/>
    <sheet xmlns:r="http://schemas.openxmlformats.org/officeDocument/2006/relationships" name="WEIBULL.DIST_documented_density" sheetId="185" state="visible" r:id="rId185"/>
    <sheet xmlns:r="http://schemas.openxmlformats.org/officeDocument/2006/relationships" name="WEIBULL.DIST_full_precision_cum" sheetId="186" state="visible" r:id="rId186"/>
    <sheet xmlns:r="http://schemas.openxmlformats.org/officeDocument/2006/relationships" name="WEIBULL.DIST_alpha_one_is_expon" sheetId="187" state="visible" r:id="rId187"/>
    <sheet xmlns:r="http://schemas.openxmlformats.org/officeDocument/2006/relationships" name="WEIBULL.DIST_x_negative" sheetId="188" state="visible" r:id="rId188"/>
    <sheet xmlns:r="http://schemas.openxmlformats.org/officeDocument/2006/relationships" name="WEIBULL.DIST_alpha_zero" sheetId="189" state="visible" r:id="rId189"/>
    <sheet xmlns:r="http://schemas.openxmlformats.org/officeDocument/2006/relationships" name="WEIBULL.DIST_nonnumeric_argumen" sheetId="190" state="visible" r:id="rId190"/>
    <sheet xmlns:r="http://schemas.openxmlformats.org/officeDocument/2006/relationships" name="YIELD_documented_example" sheetId="191" state="visible" r:id="rId191"/>
    <sheet xmlns:r="http://schemas.openxmlformats.org/officeDocument/2006/relationships" name="YIELD_full_precision" sheetId="192" state="visible" r:id="rId192"/>
    <sheet xmlns:r="http://schemas.openxmlformats.org/officeDocument/2006/relationships" name="YIELD_round_trips_through_PRICE" sheetId="193" state="visible" r:id="rId193"/>
    <sheet xmlns:r="http://schemas.openxmlformats.org/officeDocument/2006/relationships" name="YIELD_settlement_after_maturity" sheetId="194" state="visible" r:id="rId194"/>
    <sheet xmlns:r="http://schemas.openxmlformats.org/officeDocument/2006/relationships" name="YIELD_invalid_frequency" sheetId="195" state="visible" r:id="rId195"/>
    <sheet xmlns:r="http://schemas.openxmlformats.org/officeDocument/2006/relationships" name="YIELD_invalid_basis" sheetId="196" state="visible" r:id="rId196"/>
    <sheet xmlns:r="http://schemas.openxmlformats.org/officeDocument/2006/relationships" name="YIELD_price_zero" sheetId="197" state="visible" r:id="rId197"/>
    <sheet xmlns:r="http://schemas.openxmlformats.org/officeDocument/2006/relationships" name="YIELDDISC_documented_example" sheetId="198" state="visible" r:id="rId198"/>
    <sheet xmlns:r="http://schemas.openxmlformats.org/officeDocument/2006/relationships" name="YIELDDISC_full_precision" sheetId="199" state="visible" r:id="rId199"/>
    <sheet xmlns:r="http://schemas.openxmlformats.org/officeDocument/2006/relationships" name="YIELDDISC_par_redemption_struct" sheetId="200" state="visible" r:id="rId200"/>
    <sheet xmlns:r="http://schemas.openxmlformats.org/officeDocument/2006/relationships" name="YIELDDISC_settlement_after_matu" sheetId="201" state="visible" r:id="rId201"/>
    <sheet xmlns:r="http://schemas.openxmlformats.org/officeDocument/2006/relationships" name="YIELDDISC_price_zero" sheetId="202" state="visible" r:id="rId202"/>
    <sheet xmlns:r="http://schemas.openxmlformats.org/officeDocument/2006/relationships" name="YIELDDISC_invalid_basis" sheetId="203" state="visible" r:id="rId203"/>
    <sheet xmlns:r="http://schemas.openxmlformats.org/officeDocument/2006/relationships" name="YIELDMAT_documented_example" sheetId="204" state="visible" r:id="rId204"/>
    <sheet xmlns:r="http://schemas.openxmlformats.org/officeDocument/2006/relationships" name="YIELDMAT_full_precision" sheetId="205" state="visible" r:id="rId205"/>
    <sheet xmlns:r="http://schemas.openxmlformats.org/officeDocument/2006/relationships" name="YIELDMAT_settlement_after_matur" sheetId="206" state="visible" r:id="rId206"/>
    <sheet xmlns:r="http://schemas.openxmlformats.org/officeDocument/2006/relationships" name="YIELDMAT_negative_rate" sheetId="207" state="visible" r:id="rId207"/>
    <sheet xmlns:r="http://schemas.openxmlformats.org/officeDocument/2006/relationships" name="YIELDMAT_price_zero" sheetId="208" state="visible" r:id="rId208"/>
    <sheet xmlns:r="http://schemas.openxmlformats.org/officeDocument/2006/relationships" name="YIELDMAT_invalid_basis" sheetId="209" state="visible" r:id="rId209"/>
    <sheet xmlns:r="http://schemas.openxmlformats.org/officeDocument/2006/relationships" name="YIELDMAT_invalid_issue_date" sheetId="210" state="visible" r:id="rId210"/>
    <sheet xmlns:r="http://schemas.openxmlformats.org/officeDocument/2006/relationships" name="Z.TEST_documented_mean_four" sheetId="211" state="visible" r:id="rId211"/>
    <sheet xmlns:r="http://schemas.openxmlformats.org/officeDocument/2006/relationships" name="Z.TEST_documented_mean_six" sheetId="212" state="visible" r:id="rId212"/>
    <sheet xmlns:r="http://schemas.openxmlformats.org/officeDocument/2006/relationships" name="Z.TEST_documented_two_tailed_at" sheetId="213" state="visible" r:id="rId213"/>
    <sheet xmlns:r="http://schemas.openxmlformats.org/officeDocument/2006/relationships" name="Z.TEST_documented_two_tailed_~2" sheetId="214" state="visible" r:id="rId214"/>
    <sheet xmlns:r="http://schemas.openxmlformats.org/officeDocument/2006/relationships" name="Z.TEST_full_precision" sheetId="215" state="visible" r:id="rId215"/>
    <sheet xmlns:r="http://schemas.openxmlformats.org/officeDocument/2006/relationships" name="Z.TEST_with_explicit_sigma" sheetId="216" state="visible" r:id="rId216"/>
    <sheet xmlns:r="http://schemas.openxmlformats.org/officeDocument/2006/relationships" name="Z.TEST_empty_array" sheetId="217" state="visible" r:id="rId217"/>
    <sheet xmlns:r="http://schemas.openxmlformats.org/officeDocument/2006/relationships" name="ZTEST_documented_mean_four" sheetId="218" state="visible" r:id="rId218"/>
    <sheet xmlns:r="http://schemas.openxmlformats.org/officeDocument/2006/relationships" name="ZTEST_documented_mean_six" sheetId="219" state="visible" r:id="rId219"/>
    <sheet xmlns:r="http://schemas.openxmlformats.org/officeDocument/2006/relationships" name="ZTEST_matches_Z.TEST" sheetId="220" state="visible" r:id="rId220"/>
    <sheet xmlns:r="http://schemas.openxmlformats.org/officeDocument/2006/relationships" name="ZTEST_matches_Z.TEST_with_sigma" sheetId="221" state="visible" r:id="rId221"/>
    <sheet xmlns:r="http://schemas.openxmlformats.org/officeDocument/2006/relationships" name="ZTEST_full_precision" sheetId="222" state="visible" r:id="rId222"/>
    <sheet xmlns:r="http://schemas.openxmlformats.org/officeDocument/2006/relationships" name="ZTEST_empty_array" sheetId="223" state="visible" r:id="rId2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styles" Target="styles.xml" Id="rId224"/><Relationship Type="http://schemas.openxmlformats.org/officeDocument/2006/relationships/theme" Target="theme/theme1.xml" Id="rId2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RTD("NoSuchProgID","","topic")</f>
        <v/>
      </c>
      <c r="Z1">
        <f>1111+2222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SEARCHB("e",A2,6)</f>
        <v/>
      </c>
      <c r="Z1">
        <f>1111+2222</f>
        <v/>
      </c>
    </row>
    <row r="2">
      <c r="A2" t="inlineStr">
        <is>
          <t>Statements</t>
        </is>
      </c>
    </row>
    <row r="3">
      <c r="A3" t="inlineStr">
        <is>
          <t>Profit Margin</t>
        </is>
      </c>
    </row>
    <row r="4">
      <c r="A4" t="inlineStr">
        <is>
          <t>margin</t>
        </is>
      </c>
    </row>
    <row r="5">
      <c r="A5" t="inlineStr">
        <is>
          <t>The "boss" is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SEARCHB(A4,A3)</f>
        <v/>
      </c>
      <c r="Z1">
        <f>1111+2222</f>
        <v/>
      </c>
    </row>
    <row r="2">
      <c r="A2" t="inlineStr">
        <is>
          <t>Statements</t>
        </is>
      </c>
    </row>
    <row r="3">
      <c r="A3" t="inlineStr">
        <is>
          <t>Profit Margin</t>
        </is>
      </c>
    </row>
    <row r="4">
      <c r="A4" t="inlineStr">
        <is>
          <t>margin</t>
        </is>
      </c>
    </row>
    <row r="5">
      <c r="A5" t="inlineStr">
        <is>
          <t>The "boss" is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SEARCHB("e",A2)</f>
        <v/>
      </c>
      <c r="Z1">
        <f>1111+2222</f>
        <v/>
      </c>
    </row>
    <row r="2">
      <c r="A2" t="inlineStr">
        <is>
          <t>Statements</t>
        </is>
      </c>
    </row>
    <row r="3">
      <c r="A3" t="inlineStr">
        <is>
          <t>Profit Margin</t>
        </is>
      </c>
    </row>
    <row r="4">
      <c r="A4" t="inlineStr">
        <is>
          <t>margin</t>
        </is>
      </c>
    </row>
    <row r="5">
      <c r="A5" t="inlineStr">
        <is>
          <t>The "boss" is here.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SEARCHB("zzz",A2)</f>
        <v/>
      </c>
      <c r="Z1">
        <f>1111+2222</f>
        <v/>
      </c>
    </row>
    <row r="2">
      <c r="A2" t="inlineStr">
        <is>
          <t>Statements</t>
        </is>
      </c>
    </row>
    <row r="3">
      <c r="A3" t="inlineStr">
        <is>
          <t>Profit Margin</t>
        </is>
      </c>
    </row>
    <row r="4">
      <c r="A4" t="inlineStr">
        <is>
          <t>margin</t>
        </is>
      </c>
    </row>
    <row r="5">
      <c r="A5" t="inlineStr">
        <is>
          <t>The "boss" is here.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SEARCHB("e",A2,99)</f>
        <v/>
      </c>
      <c r="Z1">
        <f>1111+2222</f>
        <v/>
      </c>
    </row>
    <row r="2">
      <c r="A2" t="inlineStr">
        <is>
          <t>Statements</t>
        </is>
      </c>
    </row>
    <row r="3">
      <c r="A3" t="inlineStr">
        <is>
          <t>Profit Margin</t>
        </is>
      </c>
    </row>
    <row r="4">
      <c r="A4" t="inlineStr">
        <is>
          <t>margin</t>
        </is>
      </c>
    </row>
    <row r="5">
      <c r="A5" t="inlineStr">
        <is>
          <t>The "boss" is here.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SEARCHB("?argin",A3)</f>
        <v/>
      </c>
      <c r="Z1">
        <f>1111+2222</f>
        <v/>
      </c>
    </row>
    <row r="2">
      <c r="A2" t="inlineStr">
        <is>
          <t>Statements</t>
        </is>
      </c>
    </row>
    <row r="3">
      <c r="A3" t="inlineStr">
        <is>
          <t>Profit Margin</t>
        </is>
      </c>
    </row>
    <row r="4">
      <c r="A4" t="inlineStr">
        <is>
          <t>margin</t>
        </is>
      </c>
    </row>
    <row r="5">
      <c r="A5" t="inlineStr">
        <is>
          <t>The "boss" is here.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SEARCHB("Ｂ","ＡＢＣ")</f>
        <v/>
      </c>
      <c r="Z1">
        <f>1111+2222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SEARCHB("a","a")</f>
        <v/>
      </c>
      <c r="Z1">
        <f>1111+2222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ROUND(SEC(45),5)</f>
        <v/>
      </c>
      <c r="Z1">
        <f>1111+2222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ROUND(SEC(30),5)</f>
        <v/>
      </c>
      <c r="Z1">
        <f>1111+2222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ROUND(SEC(45),10)</f>
        <v/>
      </c>
      <c r="Z1">
        <f>1111+2222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ROUND(SEC(45*PI()/180),10)</f>
        <v/>
      </c>
      <c r="Z1">
        <f>1111+2222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SEC("abc")</f>
        <v/>
      </c>
      <c r="Z1">
        <f>1111+2222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SEC(200000000)</f>
        <v/>
      </c>
      <c r="Z1">
        <f>1111+2222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ROUND(SECH(45),25)</f>
        <v/>
      </c>
      <c r="Z1">
        <f>1111+2222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ROUND(SECH(30),20)</f>
        <v/>
      </c>
      <c r="Z1">
        <f>1111+2222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SECH(0)</f>
        <v/>
      </c>
      <c r="Z1">
        <f>1111+2222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ROUND(SECH(2)-SECH(-2),15)</f>
        <v/>
      </c>
      <c r="Z1">
        <f>1111+2222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SECH("abc")</f>
        <v/>
      </c>
      <c r="Z1">
        <f>1111+2222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SECH(200000000)</f>
        <v/>
      </c>
      <c r="Z1">
        <f>1111+2222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ROUND(SERIESSUM(A3,0,2,A4:A7),6)</f>
        <v/>
      </c>
      <c r="Z1">
        <f>1111+2222</f>
        <v/>
      </c>
    </row>
    <row r="2">
      <c r="A2" t="inlineStr">
        <is>
          <t>Coefficients as numbers</t>
        </is>
      </c>
    </row>
    <row r="3">
      <c r="A3" t="n">
        <v>0.785398163</v>
      </c>
    </row>
    <row r="4">
      <c r="A4" t="n">
        <v>1</v>
      </c>
    </row>
    <row r="5">
      <c r="A5" t="n">
        <v>-0.5</v>
      </c>
    </row>
    <row r="6">
      <c r="A6" t="n">
        <v>0.041666667</v>
      </c>
    </row>
    <row r="7">
      <c r="A7" t="n">
        <v>-0.001388889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ROUND(SERIESSUM(A3,0,2,A4:A7),10)</f>
        <v/>
      </c>
      <c r="Z1">
        <f>1111+2222</f>
        <v/>
      </c>
    </row>
    <row r="3">
      <c r="A3" t="n">
        <v>0.785398163</v>
      </c>
    </row>
    <row r="4">
      <c r="A4" t="n">
        <v>1</v>
      </c>
    </row>
    <row r="5">
      <c r="A5" t="n">
        <v>-0.5</v>
      </c>
    </row>
    <row r="6">
      <c r="A6" t="n">
        <v>0.041666667</v>
      </c>
    </row>
    <row r="7">
      <c r="A7" t="n">
        <v>-0.001388889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SERIESSUM(2,0,1,{1;1;1;1})</f>
        <v/>
      </c>
      <c r="Z1">
        <f>1111+2222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SERIESSUM(10,0,1,{1;2;3})</f>
        <v/>
      </c>
      <c r="Z1">
        <f>1111+2222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SERIESSUM("abc",0,2,{1;1})</f>
        <v/>
      </c>
      <c r="Z1">
        <f>1111+2222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ROUND(SIN(PI()),10)</f>
        <v/>
      </c>
      <c r="Z1">
        <f>1111+2222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ROUND(SIN(PI()/2),10)</f>
        <v/>
      </c>
      <c r="Z1">
        <f>1111+2222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ROUND(SIN(30*PI()/180),10)</f>
        <v/>
      </c>
      <c r="Z1">
        <f>1111+2222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ROUND(SIN(RADIANS(30)),10)</f>
        <v/>
      </c>
      <c r="Z1">
        <f>1111+2222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ROUND(SIN(1)+SIN(-1),15)</f>
        <v/>
      </c>
      <c r="Z1">
        <f>1111+2222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ROUND(2.868*SINH(0.0342*1.03),7)</f>
        <v/>
      </c>
      <c r="Z1">
        <f>1111+2222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ROUND(2.868*SINH(0.0342*1.03),10)</f>
        <v/>
      </c>
      <c r="Z1">
        <f>1111+2222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SINH(0)</f>
        <v/>
      </c>
      <c r="Z1">
        <f>1111+2222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ROUND(SINH(2)+SINH(-2),15)</f>
        <v/>
      </c>
      <c r="Z1">
        <f>1111+2222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ROUND(SINH(1)-(EXP(1)-EXP(-1))/2,15)</f>
        <v/>
      </c>
      <c r="Z1">
        <f>1111+2222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Data Set</t>
        </is>
      </c>
      <c r="F1">
        <f>ROUND(SKEW.P(A2:A11),6)</f>
        <v/>
      </c>
      <c r="Z1">
        <f>1111+2222</f>
        <v/>
      </c>
    </row>
    <row r="2">
      <c r="A2" t="n">
        <v>3</v>
      </c>
    </row>
    <row r="3">
      <c r="A3" t="n">
        <v>4</v>
      </c>
    </row>
    <row r="4">
      <c r="A4" t="n">
        <v>5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4</v>
      </c>
    </row>
    <row r="11">
      <c r="A11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Data Set</t>
        </is>
      </c>
      <c r="F1">
        <f>ROUND(SKEW.P(A2:A11),10)</f>
        <v/>
      </c>
      <c r="Z1">
        <f>1111+2222</f>
        <v/>
      </c>
    </row>
    <row r="2">
      <c r="A2" t="n">
        <v>3</v>
      </c>
    </row>
    <row r="3">
      <c r="A3" t="n">
        <v>4</v>
      </c>
    </row>
    <row r="4">
      <c r="A4" t="n">
        <v>5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4</v>
      </c>
    </row>
    <row r="11">
      <c r="A11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Data Set</t>
        </is>
      </c>
      <c r="F1">
        <f>ROUND(SKEW(A2:A11),6)</f>
        <v/>
      </c>
      <c r="Z1">
        <f>1111+2222</f>
        <v/>
      </c>
    </row>
    <row r="2">
      <c r="A2" t="n">
        <v>3</v>
      </c>
    </row>
    <row r="3">
      <c r="A3" t="n">
        <v>4</v>
      </c>
    </row>
    <row r="4">
      <c r="A4" t="n">
        <v>5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4</v>
      </c>
    </row>
    <row r="11">
      <c r="A11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ROUND(SKEW.P({1,2,3,4,5}),12)</f>
        <v/>
      </c>
      <c r="Z1">
        <f>1111+2222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SKEW.P(1,2)</f>
        <v/>
      </c>
      <c r="Z1">
        <f>1111+2222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SKEW.P(5,5,5,5)</f>
        <v/>
      </c>
      <c r="Z1">
        <f>1111+2222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ROUND(SQRTPI(1),6)</f>
        <v/>
      </c>
      <c r="Z1">
        <f>1111+2222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ROUND(SQRTPI(2),6)</f>
        <v/>
      </c>
      <c r="Z1">
        <f>1111+2222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ROUND(SQRTPI(2),10)</f>
        <v/>
      </c>
      <c r="Z1">
        <f>1111+2222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SQRTPI(0)</f>
        <v/>
      </c>
      <c r="Z1">
        <f>1111+2222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ROUND(SQRTPI(3)^2/PI(),12)</f>
        <v/>
      </c>
      <c r="Z1">
        <f>1111+2222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SQRTPI(-1)</f>
        <v/>
      </c>
      <c r="Z1">
        <f>1111+2222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ROUND(STEYX(A3:A9,B3:B9),6)</f>
        <v/>
      </c>
      <c r="Z1">
        <f>1111+2222</f>
        <v/>
      </c>
    </row>
    <row r="2">
      <c r="A2" t="inlineStr">
        <is>
          <t>Known y</t>
        </is>
      </c>
      <c r="B2" t="inlineStr">
        <is>
          <t>Known x</t>
        </is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9</v>
      </c>
      <c r="B5" t="n">
        <v>11</v>
      </c>
    </row>
    <row r="6">
      <c r="A6" t="n">
        <v>1</v>
      </c>
      <c r="B6" t="n">
        <v>7</v>
      </c>
    </row>
    <row r="7">
      <c r="A7" t="n">
        <v>8</v>
      </c>
      <c r="B7" t="n">
        <v>5</v>
      </c>
    </row>
    <row r="8">
      <c r="A8" t="n">
        <v>7</v>
      </c>
      <c r="B8" t="n">
        <v>4</v>
      </c>
    </row>
    <row r="9">
      <c r="A9" t="n">
        <v>5</v>
      </c>
      <c r="B9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ROUND(STEYX(A3:A9,B3:B9),10)</f>
        <v/>
      </c>
      <c r="Z1">
        <f>1111+2222</f>
        <v/>
      </c>
    </row>
    <row r="2">
      <c r="A2" t="inlineStr">
        <is>
          <t>Known y</t>
        </is>
      </c>
      <c r="B2" t="inlineStr">
        <is>
          <t>Known x</t>
        </is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9</v>
      </c>
      <c r="B5" t="n">
        <v>11</v>
      </c>
    </row>
    <row r="6">
      <c r="A6" t="n">
        <v>1</v>
      </c>
      <c r="B6" t="n">
        <v>7</v>
      </c>
    </row>
    <row r="7">
      <c r="A7" t="n">
        <v>8</v>
      </c>
      <c r="B7" t="n">
        <v>5</v>
      </c>
    </row>
    <row r="8">
      <c r="A8" t="n">
        <v>7</v>
      </c>
      <c r="B8" t="n">
        <v>4</v>
      </c>
    </row>
    <row r="9">
      <c r="A9" t="n">
        <v>5</v>
      </c>
      <c r="B9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ROUND(STEYX(B3:B9,A3:A9),10)</f>
        <v/>
      </c>
      <c r="Z1">
        <f>1111+2222</f>
        <v/>
      </c>
    </row>
    <row r="2">
      <c r="A2" t="inlineStr">
        <is>
          <t>Known y</t>
        </is>
      </c>
      <c r="B2" t="inlineStr">
        <is>
          <t>Known x</t>
        </is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9</v>
      </c>
      <c r="B5" t="n">
        <v>11</v>
      </c>
    </row>
    <row r="6">
      <c r="A6" t="n">
        <v>1</v>
      </c>
      <c r="B6" t="n">
        <v>7</v>
      </c>
    </row>
    <row r="7">
      <c r="A7" t="n">
        <v>8</v>
      </c>
      <c r="B7" t="n">
        <v>5</v>
      </c>
    </row>
    <row r="8">
      <c r="A8" t="n">
        <v>7</v>
      </c>
      <c r="B8" t="n">
        <v>4</v>
      </c>
    </row>
    <row r="9">
      <c r="A9" t="n">
        <v>5</v>
      </c>
      <c r="B9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STEYX({1,2,3},{1,2})</f>
        <v/>
      </c>
      <c r="Z1">
        <f>1111+2222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STEYX({1,2},{3,4})</f>
        <v/>
      </c>
      <c r="Z1">
        <f>1111+2222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STOCKHISTORY("MSFT",DATE(2020,1,1))</f>
        <v/>
      </c>
      <c r="Z1">
        <f>1111+2222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SUMX2MY2({2,3,9,1,8,7,5},{6,5,11,7,5,4,4})</f>
        <v/>
      </c>
      <c r="Z1">
        <f>1111+2222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SUMX2MY2(A3:A9,B3:B9)</f>
        <v/>
      </c>
      <c r="Z1">
        <f>1111+2222</f>
        <v/>
      </c>
    </row>
    <row r="2">
      <c r="A2" t="inlineStr">
        <is>
          <t>First array</t>
        </is>
      </c>
      <c r="B2" t="inlineStr">
        <is>
          <t>Second array</t>
        </is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9</v>
      </c>
      <c r="B5" t="n">
        <v>11</v>
      </c>
    </row>
    <row r="6">
      <c r="A6" t="n">
        <v>1</v>
      </c>
      <c r="B6" t="n">
        <v>7</v>
      </c>
    </row>
    <row r="7">
      <c r="A7" t="n">
        <v>8</v>
      </c>
      <c r="B7" t="n">
        <v>5</v>
      </c>
    </row>
    <row r="8">
      <c r="A8" t="n">
        <v>7</v>
      </c>
      <c r="B8" t="n">
        <v>4</v>
      </c>
    </row>
    <row r="9">
      <c r="A9" t="n">
        <v>5</v>
      </c>
      <c r="B9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SUMX2MY2(A2:A8,B2:B8)</f>
        <v/>
      </c>
      <c r="Z1">
        <f>1111+2222</f>
        <v/>
      </c>
    </row>
    <row r="2">
      <c r="A2" t="inlineStr">
        <is>
          <t>First array</t>
        </is>
      </c>
      <c r="B2" t="inlineStr">
        <is>
          <t>Second array</t>
        </is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9</v>
      </c>
      <c r="B5" t="n">
        <v>11</v>
      </c>
    </row>
    <row r="6">
      <c r="A6" t="n">
        <v>1</v>
      </c>
      <c r="B6" t="n">
        <v>7</v>
      </c>
    </row>
    <row r="7">
      <c r="A7" t="n">
        <v>8</v>
      </c>
      <c r="B7" t="n">
        <v>5</v>
      </c>
    </row>
    <row r="8">
      <c r="A8" t="n">
        <v>7</v>
      </c>
      <c r="B8" t="n">
        <v>4</v>
      </c>
    </row>
    <row r="9">
      <c r="A9" t="n">
        <v>5</v>
      </c>
      <c r="B9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SUMX2MY2({1,2,3},{1,2})</f>
        <v/>
      </c>
      <c r="Z1">
        <f>1111+2222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SUMX2MY2({2,3,9},{6,5,11})-(SUMSQ(2,3,9)-SUMSQ(6,5,11))</f>
        <v/>
      </c>
      <c r="Z1">
        <f>1111+2222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SUMX2PY2(A3:A9,B3:B9)</f>
        <v/>
      </c>
      <c r="Z1">
        <f>1111+2222</f>
        <v/>
      </c>
    </row>
    <row r="2">
      <c r="A2" t="inlineStr">
        <is>
          <t>First array</t>
        </is>
      </c>
      <c r="B2" t="inlineStr">
        <is>
          <t>Second array</t>
        </is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9</v>
      </c>
      <c r="B5" t="n">
        <v>11</v>
      </c>
    </row>
    <row r="6">
      <c r="A6" t="n">
        <v>1</v>
      </c>
      <c r="B6" t="n">
        <v>7</v>
      </c>
    </row>
    <row r="7">
      <c r="A7" t="n">
        <v>8</v>
      </c>
      <c r="B7" t="n">
        <v>5</v>
      </c>
    </row>
    <row r="8">
      <c r="A8" t="n">
        <v>7</v>
      </c>
      <c r="B8" t="n">
        <v>4</v>
      </c>
    </row>
    <row r="9">
      <c r="A9" t="n">
        <v>5</v>
      </c>
      <c r="B9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SUMX2PY2({2,3,9,1,8,7,5},{6,5,11,7,5,4,4})</f>
        <v/>
      </c>
      <c r="Z1">
        <f>1111+2222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SUMX2PY2({1,2,3},{1,2})</f>
        <v/>
      </c>
      <c r="Z1">
        <f>1111+2222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SUMX2PY2({2,3,9},{6,5,11})-(SUMSQ(2,3,9)+SUMSQ(6,5,11))</f>
        <v/>
      </c>
      <c r="Z1">
        <f>1111+2222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SUMX2PY2({3},{4})</f>
        <v/>
      </c>
      <c r="Z1">
        <f>1111+2222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SUMXMY2(A3:A9,B3:B9)</f>
        <v/>
      </c>
      <c r="Z1">
        <f>1111+2222</f>
        <v/>
      </c>
    </row>
    <row r="2">
      <c r="A2" t="inlineStr">
        <is>
          <t>First array</t>
        </is>
      </c>
      <c r="B2" t="inlineStr">
        <is>
          <t>Second array</t>
        </is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9</v>
      </c>
      <c r="B5" t="n">
        <v>11</v>
      </c>
    </row>
    <row r="6">
      <c r="A6" t="n">
        <v>1</v>
      </c>
      <c r="B6" t="n">
        <v>7</v>
      </c>
    </row>
    <row r="7">
      <c r="A7" t="n">
        <v>8</v>
      </c>
      <c r="B7" t="n">
        <v>5</v>
      </c>
    </row>
    <row r="8">
      <c r="A8" t="n">
        <v>7</v>
      </c>
      <c r="B8" t="n">
        <v>4</v>
      </c>
    </row>
    <row r="9">
      <c r="A9" t="n">
        <v>5</v>
      </c>
      <c r="B9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SUMXMY2({2,3,9,1,8,7,5},{6,5,11,7,5,4,4})</f>
        <v/>
      </c>
      <c r="Z1">
        <f>1111+2222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SUMXMY2({1,2,3},{1,2})</f>
        <v/>
      </c>
      <c r="Z1">
        <f>1111+2222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SUMXMY2({2,3,9},{6,5,11})-SUMXMY2({6,5,11},{2,3,9})</f>
        <v/>
      </c>
      <c r="Z1">
        <f>1111+2222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SUMXMY2({2,3,9},{6,5,11})-SUMPRODUCT(({2,3,9}-{6,5,11})^2)</f>
        <v/>
      </c>
      <c r="Z1">
        <f>1111+2222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ROUND(T.DIST(60,1,TRUE),8)</f>
        <v/>
      </c>
      <c r="Z1">
        <f>1111+2222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ROUND(T.DIST(8,3,FALSE),8)</f>
        <v/>
      </c>
      <c r="Z1">
        <f>1111+2222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ROUND(T.DIST(60,1,TRUE),12)</f>
        <v/>
      </c>
      <c r="Z1">
        <f>1111+2222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ROUND(T.DIST(1.5,7,TRUE)+T.DIST(-1.5,7,TRUE),12)</f>
        <v/>
      </c>
      <c r="Z1">
        <f>1111+2222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ROUND(T.DIST(2.5,9,FALSE)-T.DIST(-2.5,9,FALSE),15)</f>
        <v/>
      </c>
      <c r="Z1">
        <f>1111+2222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T.DIST(1,0,TRUE)</f>
        <v/>
      </c>
      <c r="Z1">
        <f>1111+2222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ROUND(T.DIST.2T(A2,A3),6)</f>
        <v/>
      </c>
      <c r="Z1">
        <f>1111+2222</f>
        <v/>
      </c>
    </row>
    <row r="2">
      <c r="A2" t="n">
        <v>1.959999998</v>
      </c>
    </row>
    <row r="3">
      <c r="A3" t="n">
        <v>60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ROUND(T.DIST.2T(A2,A3),10)</f>
        <v/>
      </c>
      <c r="Z1">
        <f>1111+2222</f>
        <v/>
      </c>
    </row>
    <row r="2">
      <c r="A2" t="n">
        <v>1.959999998</v>
      </c>
    </row>
    <row r="3">
      <c r="A3" t="n">
        <v>60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ROUND(T.DIST.2T(1.5,20)-2*T.DIST.RT(1.5,20),15)</f>
        <v/>
      </c>
      <c r="Z1">
        <f>1111+2222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T.DIST.2T(-1,10)</f>
        <v/>
      </c>
      <c r="Z1">
        <f>1111+2222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T.DIST.2T(1,0)</f>
        <v/>
      </c>
      <c r="Z1">
        <f>1111+2222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T.DIST.2T("abc",60)</f>
        <v/>
      </c>
      <c r="Z1">
        <f>1111+2222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ROUND(T.DIST.RT(A2,A3),6)</f>
        <v/>
      </c>
      <c r="Z1">
        <f>1111+2222</f>
        <v/>
      </c>
    </row>
    <row r="2">
      <c r="A2" t="n">
        <v>1.959999998</v>
      </c>
    </row>
    <row r="3">
      <c r="A3" t="n">
        <v>60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ROUND(T.DIST.RT(A2,A3),10)</f>
        <v/>
      </c>
      <c r="Z1">
        <f>1111+2222</f>
        <v/>
      </c>
    </row>
    <row r="2">
      <c r="A2" t="n">
        <v>1.959999998</v>
      </c>
    </row>
    <row r="3">
      <c r="A3" t="n">
        <v>60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ROUND(T.DIST.RT(1.3,12)+T.DIST(1.3,12,TRUE),12)</f>
        <v/>
      </c>
      <c r="Z1">
        <f>1111+2222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ROUND(T.DIST.RT(-1,10),12)</f>
        <v/>
      </c>
      <c r="Z1">
        <f>1111+2222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T.DIST.RT(1,0)</f>
        <v/>
      </c>
      <c r="Z1">
        <f>1111+2222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T.DIST.RT("abc",60)</f>
        <v/>
      </c>
      <c r="Z1">
        <f>1111+2222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ROUND(T.INV(0.75,2),7)</f>
        <v/>
      </c>
      <c r="Z1">
        <f>1111+2222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ROUND(T.INV(0.75,2),12)</f>
        <v/>
      </c>
      <c r="Z1">
        <f>1111+2222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ROUND(T.INV(0.5,7),12)</f>
        <v/>
      </c>
      <c r="Z1">
        <f>1111+2222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ROUND(T.DIST(T.INV(0.3,9),9,TRUE),12)</f>
        <v/>
      </c>
      <c r="Z1">
        <f>1111+2222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ROUND(T.INV(0.95,10),9)</f>
        <v/>
      </c>
      <c r="Z1">
        <f>1111+2222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T.INV(0,2)</f>
        <v/>
      </c>
      <c r="Z1">
        <f>1111+2222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T.INV(0.75,0)</f>
        <v/>
      </c>
      <c r="Z1">
        <f>1111+2222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ROUND(T.INV.2T(A2,A3),6)</f>
        <v/>
      </c>
      <c r="Z1">
        <f>1111+2222</f>
        <v/>
      </c>
    </row>
    <row r="2">
      <c r="A2" t="n">
        <v>0.546449</v>
      </c>
    </row>
    <row r="3">
      <c r="A3" t="n">
        <v>60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ROUND(T.INV.2T(A2,A3),12)</f>
        <v/>
      </c>
      <c r="Z1">
        <f>1111+2222</f>
        <v/>
      </c>
    </row>
    <row r="2">
      <c r="A2" t="n">
        <v>0.546449</v>
      </c>
    </row>
    <row r="3">
      <c r="A3" t="n">
        <v>60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ROUND(T.INV.2T(0.05,10),9)</f>
        <v/>
      </c>
      <c r="Z1">
        <f>1111+2222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ROUND(T.INV.2T(2*0.05,10),6)</f>
        <v/>
      </c>
      <c r="Z1">
        <f>1111+2222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ROUND(T.DIST.2T(T.INV.2T(0.2,15),15),12)</f>
        <v/>
      </c>
      <c r="Z1">
        <f>1111+2222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T.INV.2T(0,60)</f>
        <v/>
      </c>
      <c r="Z1">
        <f>1111+2222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T.INV.2T(0.5,0)</f>
        <v/>
      </c>
      <c r="Z1">
        <f>1111+2222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ROUND(T.TEST(A2:A10,B2:B10,2,1),6)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ROUND(T.TEST(A2:A10,B2:B10,2,1),12)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ROUND(T.TEST(A2:A10,B2:B10,2,1)-2*T.TEST(A2:A10,B2:B10,1,1),15)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ROUND(T.TEST(A2:A10,B2:B10,2,2),12)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ROUND(T.TEST(A2:A10,B2:B10,2,3),12)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T.TEST({1,2,3},{1,2},2,1)</f>
        <v/>
      </c>
      <c r="Z1">
        <f>1111+2222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T.TEST({1,2,3},{4,5,6},3,1)</f>
        <v/>
      </c>
      <c r="Z1">
        <f>1111+2222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T.TEST({1,2,3},{4,5,6},"x",1)</f>
        <v/>
      </c>
      <c r="Z1">
        <f>1111+2222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ROUND(TAN(0.785),5)</f>
        <v/>
      </c>
      <c r="Z1">
        <f>1111+2222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ROUND(TAN(45*PI()/180),10)</f>
        <v/>
      </c>
      <c r="Z1">
        <f>1111+2222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ROUND(TAN(RADIANS(45)),10)</f>
        <v/>
      </c>
      <c r="Z1">
        <f>1111+2222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ROUND(TAN(0.785),10)</f>
        <v/>
      </c>
      <c r="Z1">
        <f>1111+2222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ROUND(TAN(1)-SIN(1)/COS(1),15)</f>
        <v/>
      </c>
      <c r="Z1">
        <f>1111+2222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ROUND(TANH(-2),6)</f>
        <v/>
      </c>
      <c r="Z1">
        <f>1111+2222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TANH(0)</f>
        <v/>
      </c>
      <c r="Z1">
        <f>1111+2222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ROUND(TANH(0.5),6)</f>
        <v/>
      </c>
      <c r="Z1">
        <f>1111+2222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ROUND(TANH(0.5),10)</f>
        <v/>
      </c>
      <c r="Z1">
        <f>1111+2222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ROUND(TANH(1)-SINH(1)/COSH(1),15)</f>
        <v/>
      </c>
      <c r="Z1">
        <f>1111+2222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ROUND(TANH(2)+TANH(-2),15)</f>
        <v/>
      </c>
      <c r="Z1">
        <f>1111+2222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ROUND(TBILLEQ(A2,A3,A4),5)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ROUND(TBILLEQ(A2,A3,A4),10)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TBILLEQ(A2,A3,0)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TBILLEQ(A3,A2,A4)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TBILLEQ(A2,A2+400,A4)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TBILLEQ("not a date",A3,A4)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ROUND(TBILLPRICE(A2,A3,A4),2)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ROUND(TBILLPRICE(A2,A3,A4),10)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ROUND(TBILLYIELD(A2,A3,TBILLPRICE(A2,A3,0.09)),10)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TBILLPRICE(A2,A3,0)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TBILLPRICE(A2,A2+400,A4)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TBILLPRICE("not a date",A3,A4)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0.09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ROUND(TBILLYIELD(A2,A3,A4),4)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98.45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ROUND(TBILLYIELD(A2,A3,A4),10)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98.45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TBILLYIELD(A2,A3,0)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98.45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TBILLYIELD(A2,A2,A4)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98.45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TBILLYIELD(A2,A2+400,A4)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98.45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TBILLYIELD("not a date",A3,A4)</f>
        <v/>
      </c>
      <c r="Z1">
        <f>1111+2222</f>
        <v/>
      </c>
    </row>
    <row r="2">
      <c r="A2" t="n">
        <v>39538</v>
      </c>
    </row>
    <row r="3">
      <c r="A3" t="n">
        <v>39600</v>
      </c>
    </row>
    <row r="4">
      <c r="A4" t="n">
        <v>98.45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ROUND(TDIST(A2,A3,2),9)</f>
        <v/>
      </c>
      <c r="Z1">
        <f>1111+2222</f>
        <v/>
      </c>
    </row>
    <row r="2">
      <c r="A2" t="n">
        <v>1.959999998</v>
      </c>
    </row>
    <row r="3">
      <c r="A3" t="n">
        <v>60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ROUND(TDIST(A2,A3,1),9)</f>
        <v/>
      </c>
      <c r="Z1">
        <f>1111+2222</f>
        <v/>
      </c>
    </row>
    <row r="2">
      <c r="A2" t="n">
        <v>1.959999998</v>
      </c>
    </row>
    <row r="3">
      <c r="A3" t="n">
        <v>60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ROUND(TDIST(1.5,25,2)-T.DIST.2T(1.5,25),15)</f>
        <v/>
      </c>
      <c r="Z1">
        <f>1111+2222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ROUND(TDIST(1.5,25,1)-T.DIST.RT(1.5,25),15)</f>
        <v/>
      </c>
      <c r="Z1">
        <f>1111+2222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TDIST(-1,60,2)</f>
        <v/>
      </c>
      <c r="Z1">
        <f>1111+2222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TDIST(1.96,60,3)</f>
        <v/>
      </c>
      <c r="Z1">
        <f>1111+2222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TDIST(1.96,0,2)</f>
        <v/>
      </c>
      <c r="Z1">
        <f>1111+2222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ROUND(TINV(A2,A3),2)</f>
        <v/>
      </c>
      <c r="Z1">
        <f>1111+2222</f>
        <v/>
      </c>
    </row>
    <row r="2">
      <c r="A2" t="n">
        <v>0.05464</v>
      </c>
    </row>
    <row r="3">
      <c r="A3" t="n">
        <v>60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ROUND(TINV(A2,A3),10)</f>
        <v/>
      </c>
      <c r="Z1">
        <f>1111+2222</f>
        <v/>
      </c>
    </row>
    <row r="2">
      <c r="A2" t="n">
        <v>0.05464</v>
      </c>
    </row>
    <row r="3">
      <c r="A3" t="n">
        <v>60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ROUND(TINV(0.05,10),9)</f>
        <v/>
      </c>
      <c r="Z1">
        <f>1111+2222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ROUND(TINV(2*0.05,10),6)</f>
        <v/>
      </c>
      <c r="Z1">
        <f>1111+2222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ROUND(TINV(0.2,15)-T.INV.2T(0.2,15),15)</f>
        <v/>
      </c>
      <c r="Z1">
        <f>1111+2222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ROUND(TDIST(TINV(0.1,20),20,2),12)</f>
        <v/>
      </c>
      <c r="Z1">
        <f>1111+2222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TINV(1.5,60)</f>
        <v/>
      </c>
      <c r="Z1">
        <f>1111+2222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TINV(0.05,0)</f>
        <v/>
      </c>
      <c r="Z1">
        <f>1111+2222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TRANSLATE("Hello, World!","en","es")</f>
        <v/>
      </c>
      <c r="Z1">
        <f>1111+2222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B1:Z4"/>
  <sheetViews>
    <sheetView workbookViewId="0">
      <selection activeCell="A1" sqref="A1"/>
    </sheetView>
  </sheetViews>
  <sheetFormatPr baseColWidth="8" defaultRowHeight="15"/>
  <sheetData>
    <row r="1">
      <c r="F1">
        <f>SUM(TRIMRANGE(A1:E10))</f>
        <v/>
      </c>
      <c r="Z1">
        <f>1111+2222</f>
        <v/>
      </c>
    </row>
    <row r="3">
      <c r="B3" t="n">
        <v>1</v>
      </c>
      <c r="C3" t="n">
        <v>2</v>
      </c>
    </row>
    <row r="4">
      <c r="B4" t="n">
        <v>3</v>
      </c>
      <c r="C4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B1:Z4"/>
  <sheetViews>
    <sheetView workbookViewId="0">
      <selection activeCell="A1" sqref="A1"/>
    </sheetView>
  </sheetViews>
  <sheetFormatPr baseColWidth="8" defaultRowHeight="15"/>
  <sheetData>
    <row r="1">
      <c r="F1">
        <f>SUM(TRIMRANGE(A1:E10,0,0))</f>
        <v/>
      </c>
      <c r="Z1">
        <f>1111+2222</f>
        <v/>
      </c>
    </row>
    <row r="3">
      <c r="B3" t="n">
        <v>1</v>
      </c>
      <c r="C3" t="n">
        <v>2</v>
      </c>
    </row>
    <row r="4">
      <c r="B4" t="n">
        <v>3</v>
      </c>
      <c r="C4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B1:Z4"/>
  <sheetViews>
    <sheetView workbookViewId="0">
      <selection activeCell="A1" sqref="A1"/>
    </sheetView>
  </sheetViews>
  <sheetFormatPr baseColWidth="8" defaultRowHeight="15"/>
  <sheetData>
    <row r="1">
      <c r="F1">
        <f>COUNT(TRIMRANGE(A1:E10))</f>
        <v/>
      </c>
      <c r="Z1">
        <f>1111+2222</f>
        <v/>
      </c>
    </row>
    <row r="3">
      <c r="B3" t="n">
        <v>1</v>
      </c>
      <c r="C3" t="n">
        <v>2</v>
      </c>
    </row>
    <row r="4">
      <c r="B4" t="n">
        <v>3</v>
      </c>
      <c r="C4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B1:Z4"/>
  <sheetViews>
    <sheetView workbookViewId="0">
      <selection activeCell="A1" sqref="A1"/>
    </sheetView>
  </sheetViews>
  <sheetFormatPr baseColWidth="8" defaultRowHeight="15"/>
  <sheetData>
    <row r="1">
      <c r="F1">
        <f>ROWS(TRIMRANGE(A1:E10))</f>
        <v/>
      </c>
      <c r="Z1">
        <f>1111+2222</f>
        <v/>
      </c>
    </row>
    <row r="3">
      <c r="B3" t="n">
        <v>1</v>
      </c>
      <c r="C3" t="n">
        <v>2</v>
      </c>
    </row>
    <row r="4">
      <c r="B4" t="n">
        <v>3</v>
      </c>
      <c r="C4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B1:Z4"/>
  <sheetViews>
    <sheetView workbookViewId="0">
      <selection activeCell="A1" sqref="A1"/>
    </sheetView>
  </sheetViews>
  <sheetFormatPr baseColWidth="8" defaultRowHeight="15"/>
  <sheetData>
    <row r="1">
      <c r="F1">
        <f>COLUMNS(TRIMRANGE(A1:E10))</f>
        <v/>
      </c>
      <c r="Z1">
        <f>1111+2222</f>
        <v/>
      </c>
    </row>
    <row r="3">
      <c r="B3" t="n">
        <v>1</v>
      </c>
      <c r="C3" t="n">
        <v>2</v>
      </c>
    </row>
    <row r="4">
      <c r="B4" t="n">
        <v>3</v>
      </c>
      <c r="C4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B1:Z4"/>
  <sheetViews>
    <sheetView workbookViewId="0">
      <selection activeCell="A1" sqref="A1"/>
    </sheetView>
  </sheetViews>
  <sheetFormatPr baseColWidth="8" defaultRowHeight="15"/>
  <sheetData>
    <row r="1">
      <c r="F1">
        <f>ROWS(TRIMRANGE(A1:E10,1,1))</f>
        <v/>
      </c>
      <c r="Z1">
        <f>1111+2222</f>
        <v/>
      </c>
    </row>
    <row r="3">
      <c r="B3" t="n">
        <v>1</v>
      </c>
      <c r="C3" t="n">
        <v>2</v>
      </c>
    </row>
    <row r="4">
      <c r="B4" t="n">
        <v>3</v>
      </c>
      <c r="C4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B1:Z4"/>
  <sheetViews>
    <sheetView workbookViewId="0">
      <selection activeCell="A1" sqref="A1"/>
    </sheetView>
  </sheetViews>
  <sheetFormatPr baseColWidth="8" defaultRowHeight="15"/>
  <sheetData>
    <row r="1">
      <c r="F1">
        <f>ROWS(TRIMRANGE(A1:E10,2,2))</f>
        <v/>
      </c>
      <c r="Z1">
        <f>1111+2222</f>
        <v/>
      </c>
    </row>
    <row r="3">
      <c r="B3" t="n">
        <v>1</v>
      </c>
      <c r="C3" t="n">
        <v>2</v>
      </c>
    </row>
    <row r="4">
      <c r="B4" t="n">
        <v>3</v>
      </c>
      <c r="C4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ROUND(TTEST(A2:A10,B2:B10,2,1),6)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ROUND(TTEST(A2:A10,B2:B10,2,1),12)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ROUND(TTEST(A2:A10,B2:B10,2,1)-T.TEST(A2:A10,B2:B10,2,1),15)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>
        <is>
          <t>Data 2</t>
        </is>
      </c>
      <c r="F1">
        <f>ROUND(TTEST(A2:A10,B2:B10,1,3)-T.TEST(A2:A10,B2:B10,1,3),15)</f>
        <v/>
      </c>
      <c r="Z1">
        <f>1111+2222</f>
        <v/>
      </c>
    </row>
    <row r="2">
      <c r="A2" t="n">
        <v>3</v>
      </c>
      <c r="B2" t="n">
        <v>6</v>
      </c>
    </row>
    <row r="3">
      <c r="A3" t="n">
        <v>4</v>
      </c>
      <c r="B3" t="n">
        <v>19</v>
      </c>
    </row>
    <row r="4">
      <c r="A4" t="n">
        <v>5</v>
      </c>
      <c r="B4" t="n">
        <v>3</v>
      </c>
    </row>
    <row r="5">
      <c r="A5" t="n">
        <v>8</v>
      </c>
      <c r="B5" t="n">
        <v>2</v>
      </c>
    </row>
    <row r="6">
      <c r="A6" t="n">
        <v>9</v>
      </c>
      <c r="B6" t="n">
        <v>14</v>
      </c>
    </row>
    <row r="7">
      <c r="A7" t="n">
        <v>1</v>
      </c>
      <c r="B7" t="n">
        <v>4</v>
      </c>
    </row>
    <row r="8">
      <c r="A8" t="n">
        <v>2</v>
      </c>
      <c r="B8" t="n">
        <v>5</v>
      </c>
    </row>
    <row r="9">
      <c r="A9" t="n">
        <v>4</v>
      </c>
      <c r="B9" t="n">
        <v>17</v>
      </c>
    </row>
    <row r="10">
      <c r="A10" t="n">
        <v>5</v>
      </c>
      <c r="B10" t="n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TTEST({1,2,3},{1,2},2,1)</f>
        <v/>
      </c>
      <c r="Z1">
        <f>1111+2222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TTEST({1,2,3},{4,5,6},3,1)</f>
        <v/>
      </c>
      <c r="Z1">
        <f>1111+2222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VALUETOTEXT(A2,0)</f>
        <v/>
      </c>
      <c r="Z1">
        <f>1111+2222</f>
        <v/>
      </c>
    </row>
    <row r="2">
      <c r="A2" t="b">
        <v>1</v>
      </c>
    </row>
    <row r="3">
      <c r="A3" t="n">
        <v>1234.01234</v>
      </c>
    </row>
    <row r="4">
      <c r="A4" t="inlineStr">
        <is>
          <t>Hello</t>
        </is>
      </c>
    </row>
    <row r="5">
      <c r="A5" t="e">
        <v>#VALUE!</v>
      </c>
    </row>
    <row r="6">
      <c r="A6" t="inlineStr">
        <is>
          <t>Seattle</t>
        </is>
      </c>
    </row>
    <row r="7">
      <c r="A7" t="n">
        <v>1234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VALUETOTEXT(A3,0)</f>
        <v/>
      </c>
      <c r="Z1">
        <f>1111+2222</f>
        <v/>
      </c>
    </row>
    <row r="2">
      <c r="A2" t="b">
        <v>1</v>
      </c>
    </row>
    <row r="3">
      <c r="A3" t="n">
        <v>1234.01234</v>
      </c>
    </row>
    <row r="4">
      <c r="A4" t="inlineStr">
        <is>
          <t>Hello</t>
        </is>
      </c>
    </row>
    <row r="5">
      <c r="A5" t="e">
        <v>#VALUE!</v>
      </c>
    </row>
    <row r="6">
      <c r="A6" t="inlineStr">
        <is>
          <t>Seattle</t>
        </is>
      </c>
    </row>
    <row r="7">
      <c r="A7" t="n">
        <v>1234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VALUETOTEXT(A4,0)</f>
        <v/>
      </c>
      <c r="Z1">
        <f>1111+2222</f>
        <v/>
      </c>
    </row>
    <row r="2">
      <c r="A2" t="b">
        <v>1</v>
      </c>
    </row>
    <row r="3">
      <c r="A3" t="n">
        <v>1234.01234</v>
      </c>
    </row>
    <row r="4">
      <c r="A4" t="inlineStr">
        <is>
          <t>Hello</t>
        </is>
      </c>
    </row>
    <row r="5">
      <c r="A5" t="e">
        <v>#VALUE!</v>
      </c>
    </row>
    <row r="6">
      <c r="A6" t="inlineStr">
        <is>
          <t>Seattle</t>
        </is>
      </c>
    </row>
    <row r="7">
      <c r="A7" t="n">
        <v>1234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VALUETOTEXT(A4,1)</f>
        <v/>
      </c>
      <c r="Z1">
        <f>1111+2222</f>
        <v/>
      </c>
    </row>
    <row r="2">
      <c r="A2" t="b">
        <v>1</v>
      </c>
    </row>
    <row r="3">
      <c r="A3" t="n">
        <v>1234.01234</v>
      </c>
    </row>
    <row r="4">
      <c r="A4" t="inlineStr">
        <is>
          <t>Hello</t>
        </is>
      </c>
    </row>
    <row r="5">
      <c r="A5" t="e">
        <v>#VALUE!</v>
      </c>
    </row>
    <row r="6">
      <c r="A6" t="inlineStr">
        <is>
          <t>Seattle</t>
        </is>
      </c>
    </row>
    <row r="7">
      <c r="A7" t="n">
        <v>1234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VALUETOTEXT(A6,1)</f>
        <v/>
      </c>
      <c r="Z1">
        <f>1111+2222</f>
        <v/>
      </c>
    </row>
    <row r="2">
      <c r="A2" t="b">
        <v>1</v>
      </c>
    </row>
    <row r="3">
      <c r="A3" t="n">
        <v>1234.01234</v>
      </c>
    </row>
    <row r="4">
      <c r="A4" t="inlineStr">
        <is>
          <t>Hello</t>
        </is>
      </c>
    </row>
    <row r="5">
      <c r="A5" t="e">
        <v>#VALUE!</v>
      </c>
    </row>
    <row r="6">
      <c r="A6" t="inlineStr">
        <is>
          <t>Seattle</t>
        </is>
      </c>
    </row>
    <row r="7">
      <c r="A7" t="n">
        <v>1234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VALUETOTEXT(A4,2)</f>
        <v/>
      </c>
      <c r="Z1">
        <f>1111+2222</f>
        <v/>
      </c>
    </row>
    <row r="2">
      <c r="A2" t="b">
        <v>1</v>
      </c>
    </row>
    <row r="3">
      <c r="A3" t="n">
        <v>1234.01234</v>
      </c>
    </row>
    <row r="4">
      <c r="A4" t="inlineStr">
        <is>
          <t>Hello</t>
        </is>
      </c>
    </row>
    <row r="5">
      <c r="A5" t="e">
        <v>#VALUE!</v>
      </c>
    </row>
    <row r="6">
      <c r="A6" t="inlineStr">
        <is>
          <t>Seattle</t>
        </is>
      </c>
    </row>
    <row r="7">
      <c r="A7" t="n">
        <v>1234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VALUETOTEXT(A5,0)</f>
        <v/>
      </c>
      <c r="Z1">
        <f>1111+2222</f>
        <v/>
      </c>
    </row>
    <row r="2">
      <c r="A2" t="b">
        <v>1</v>
      </c>
    </row>
    <row r="3">
      <c r="A3" t="n">
        <v>1234.01234</v>
      </c>
    </row>
    <row r="4">
      <c r="A4" t="inlineStr">
        <is>
          <t>Hello</t>
        </is>
      </c>
    </row>
    <row r="5">
      <c r="A5" t="e">
        <v>#VALUE!</v>
      </c>
    </row>
    <row r="6">
      <c r="A6" t="inlineStr">
        <is>
          <t>Seattle</t>
        </is>
      </c>
    </row>
    <row r="7">
      <c r="A7" t="n">
        <v>1234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ROUND(WEIBULL(A2,A3,A4,TRUE),6)</f>
        <v/>
      </c>
      <c r="Z1">
        <f>1111+2222</f>
        <v/>
      </c>
    </row>
    <row r="2">
      <c r="A2" t="n">
        <v>105</v>
      </c>
    </row>
    <row r="3">
      <c r="A3" t="n">
        <v>20</v>
      </c>
    </row>
    <row r="4">
      <c r="A4" t="n">
        <v>100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ROUND(WEIBULL(A2,A3,A4,FALSE),6)</f>
        <v/>
      </c>
      <c r="Z1">
        <f>1111+2222</f>
        <v/>
      </c>
    </row>
    <row r="2">
      <c r="A2" t="n">
        <v>105</v>
      </c>
    </row>
    <row r="3">
      <c r="A3" t="n">
        <v>20</v>
      </c>
    </row>
    <row r="4">
      <c r="A4" t="n">
        <v>100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ROUND(WEIBULL(A2,A3,A4,TRUE),12)</f>
        <v/>
      </c>
      <c r="Z1">
        <f>1111+2222</f>
        <v/>
      </c>
    </row>
    <row r="2">
      <c r="A2" t="n">
        <v>105</v>
      </c>
    </row>
    <row r="3">
      <c r="A3" t="n">
        <v>20</v>
      </c>
    </row>
    <row r="4">
      <c r="A4" t="n">
        <v>100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ROUND(WEIBULL(105,20,100,TRUE)-WEIBULL.DIST(105,20,100,TRUE),15)</f>
        <v/>
      </c>
      <c r="Z1">
        <f>1111+2222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ROUND(WEIBULL(2,1,2,TRUE)-(1-EXP(-1)),15)</f>
        <v/>
      </c>
      <c r="Z1">
        <f>1111+2222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WEIBULL(-1,20,100,TRUE)</f>
        <v/>
      </c>
      <c r="Z1">
        <f>1111+2222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WEIBULL(105,0,100,TRUE)</f>
        <v/>
      </c>
      <c r="Z1">
        <f>1111+2222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WEIBULL("abc",20,100,TRUE)</f>
        <v/>
      </c>
      <c r="Z1">
        <f>1111+2222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ROUND(WEIBULL.DIST(A2,A3,A4,TRUE),6)</f>
        <v/>
      </c>
      <c r="Z1">
        <f>1111+2222</f>
        <v/>
      </c>
    </row>
    <row r="2">
      <c r="A2" t="n">
        <v>105</v>
      </c>
    </row>
    <row r="3">
      <c r="A3" t="n">
        <v>20</v>
      </c>
    </row>
    <row r="4">
      <c r="A4" t="n">
        <v>100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ROUND(WEIBULL.DIST(A2,A3,A4,FALSE),6)</f>
        <v/>
      </c>
      <c r="Z1">
        <f>1111+2222</f>
        <v/>
      </c>
    </row>
    <row r="2">
      <c r="A2" t="n">
        <v>105</v>
      </c>
    </row>
    <row r="3">
      <c r="A3" t="n">
        <v>20</v>
      </c>
    </row>
    <row r="4">
      <c r="A4" t="n">
        <v>100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ROUND(WEIBULL.DIST(A2,A3,A4,TRUE),12)</f>
        <v/>
      </c>
      <c r="Z1">
        <f>1111+2222</f>
        <v/>
      </c>
    </row>
    <row r="2">
      <c r="A2" t="n">
        <v>105</v>
      </c>
    </row>
    <row r="3">
      <c r="A3" t="n">
        <v>20</v>
      </c>
    </row>
    <row r="4">
      <c r="A4" t="n">
        <v>100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ROUND(WEIBULL.DIST(2,1,2,TRUE)-(1-EXP(-1)),15)</f>
        <v/>
      </c>
      <c r="Z1">
        <f>1111+2222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WEIBULL.DIST(-1,20,100,TRUE)</f>
        <v/>
      </c>
      <c r="Z1">
        <f>1111+2222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WEIBULL.DIST(105,0,100,TRUE)</f>
        <v/>
      </c>
      <c r="Z1">
        <f>1111+2222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WEIBULL.DIST("abc",20,100,TRUE)</f>
        <v/>
      </c>
      <c r="Z1">
        <f>1111+2222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ROUND(YIELD(A2,A3,A4,A5,A6,A7,A8),6)</f>
        <v/>
      </c>
      <c r="Z1">
        <f>1111+2222</f>
        <v/>
      </c>
    </row>
    <row r="2">
      <c r="A2" t="n">
        <v>39493</v>
      </c>
    </row>
    <row r="3">
      <c r="A3" t="n">
        <v>42689</v>
      </c>
    </row>
    <row r="4">
      <c r="A4" t="n">
        <v>0.0575</v>
      </c>
    </row>
    <row r="5">
      <c r="A5" t="n">
        <v>95.04286999999999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ROUND(YIELD(A2,A3,A4,A5,A6,A7,A8),8)</f>
        <v/>
      </c>
      <c r="Z1">
        <f>1111+2222</f>
        <v/>
      </c>
    </row>
    <row r="2">
      <c r="A2" t="n">
        <v>39493</v>
      </c>
    </row>
    <row r="3">
      <c r="A3" t="n">
        <v>42689</v>
      </c>
    </row>
    <row r="4">
      <c r="A4" t="n">
        <v>0.0575</v>
      </c>
    </row>
    <row r="5">
      <c r="A5" t="n">
        <v>95.04286999999999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ROUND(YIELD(A2,A3,A4,PRICE(A2,A3,A4,0.065,A6,A7,A8),A6,A7,A8),8)</f>
        <v/>
      </c>
      <c r="Z1">
        <f>1111+2222</f>
        <v/>
      </c>
    </row>
    <row r="2">
      <c r="A2" t="n">
        <v>39493</v>
      </c>
    </row>
    <row r="3">
      <c r="A3" t="n">
        <v>42689</v>
      </c>
    </row>
    <row r="4">
      <c r="A4" t="n">
        <v>0.0575</v>
      </c>
    </row>
    <row r="5">
      <c r="A5" t="n">
        <v>95.04286999999999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YIELD(A3,A2,A4,A5,A6,A7,A8)</f>
        <v/>
      </c>
      <c r="Z1">
        <f>1111+2222</f>
        <v/>
      </c>
    </row>
    <row r="2">
      <c r="A2" t="n">
        <v>39493</v>
      </c>
    </row>
    <row r="3">
      <c r="A3" t="n">
        <v>42689</v>
      </c>
    </row>
    <row r="4">
      <c r="A4" t="n">
        <v>0.0575</v>
      </c>
    </row>
    <row r="5">
      <c r="A5" t="n">
        <v>95.04286999999999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YIELD(A2,A3,A4,A5,A6,3,A8)</f>
        <v/>
      </c>
      <c r="Z1">
        <f>1111+2222</f>
        <v/>
      </c>
    </row>
    <row r="2">
      <c r="A2" t="n">
        <v>39493</v>
      </c>
    </row>
    <row r="3">
      <c r="A3" t="n">
        <v>42689</v>
      </c>
    </row>
    <row r="4">
      <c r="A4" t="n">
        <v>0.0575</v>
      </c>
    </row>
    <row r="5">
      <c r="A5" t="n">
        <v>95.04286999999999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YIELD(A2,A3,A4,A5,A6,A7,5)</f>
        <v/>
      </c>
      <c r="Z1">
        <f>1111+2222</f>
        <v/>
      </c>
    </row>
    <row r="2">
      <c r="A2" t="n">
        <v>39493</v>
      </c>
    </row>
    <row r="3">
      <c r="A3" t="n">
        <v>42689</v>
      </c>
    </row>
    <row r="4">
      <c r="A4" t="n">
        <v>0.0575</v>
      </c>
    </row>
    <row r="5">
      <c r="A5" t="n">
        <v>95.04286999999999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YIELD(A2,A3,A4,0,A6,A7,A8)</f>
        <v/>
      </c>
      <c r="Z1">
        <f>1111+2222</f>
        <v/>
      </c>
    </row>
    <row r="2">
      <c r="A2" t="n">
        <v>39493</v>
      </c>
    </row>
    <row r="3">
      <c r="A3" t="n">
        <v>42689</v>
      </c>
    </row>
    <row r="4">
      <c r="A4" t="n">
        <v>0.0575</v>
      </c>
    </row>
    <row r="5">
      <c r="A5" t="n">
        <v>95.04286999999999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ROUND(YIELDDISC(A2,A3,A4,A5,A6),6)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99.795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ROUND(YIELDDISC(A2,A3,A4,A5,A6),10)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99.795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ROUND(YIELDDISC(A2,A3,50,100,2),10)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99.795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YIELDDISC(A3,A2,A4,A5,A6)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99.795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YIELDDISC(A2,A3,0,A5,A6)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99.795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YIELDDISC(A2,A3,A4,A5,5)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99.795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ROUND(YIELDMAT(A2,A3,A4,A5,A6,A7),6)</f>
        <v/>
      </c>
      <c r="Z1">
        <f>1111+2222</f>
        <v/>
      </c>
    </row>
    <row r="2">
      <c r="A2" t="n">
        <v>39522</v>
      </c>
    </row>
    <row r="3">
      <c r="A3" t="n">
        <v>39755</v>
      </c>
    </row>
    <row r="4">
      <c r="A4" t="n">
        <v>39394</v>
      </c>
    </row>
    <row r="5">
      <c r="A5" t="n">
        <v>0.0625</v>
      </c>
    </row>
    <row r="6">
      <c r="A6" t="n">
        <v>100.0123</v>
      </c>
    </row>
    <row r="7">
      <c r="A7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ROUND(YIELDMAT(A2,A3,A4,A5,A6,A7),10)</f>
        <v/>
      </c>
      <c r="Z1">
        <f>1111+2222</f>
        <v/>
      </c>
    </row>
    <row r="2">
      <c r="A2" t="n">
        <v>39522</v>
      </c>
    </row>
    <row r="3">
      <c r="A3" t="n">
        <v>39755</v>
      </c>
    </row>
    <row r="4">
      <c r="A4" t="n">
        <v>39394</v>
      </c>
    </row>
    <row r="5">
      <c r="A5" t="n">
        <v>0.0625</v>
      </c>
    </row>
    <row r="6">
      <c r="A6" t="n">
        <v>100.0123</v>
      </c>
    </row>
    <row r="7">
      <c r="A7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YIELDMAT(A3,A2,A4,A5,A6,A7)</f>
        <v/>
      </c>
      <c r="Z1">
        <f>1111+2222</f>
        <v/>
      </c>
    </row>
    <row r="2">
      <c r="A2" t="n">
        <v>39522</v>
      </c>
    </row>
    <row r="3">
      <c r="A3" t="n">
        <v>39755</v>
      </c>
    </row>
    <row r="4">
      <c r="A4" t="n">
        <v>39394</v>
      </c>
    </row>
    <row r="5">
      <c r="A5" t="n">
        <v>0.0625</v>
      </c>
    </row>
    <row r="6">
      <c r="A6" t="n">
        <v>100.0123</v>
      </c>
    </row>
    <row r="7">
      <c r="A7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YIELDMAT(A2,A3,A4,-0.01,A6,A7)</f>
        <v/>
      </c>
      <c r="Z1">
        <f>1111+2222</f>
        <v/>
      </c>
    </row>
    <row r="2">
      <c r="A2" t="n">
        <v>39522</v>
      </c>
    </row>
    <row r="3">
      <c r="A3" t="n">
        <v>39755</v>
      </c>
    </row>
    <row r="4">
      <c r="A4" t="n">
        <v>39394</v>
      </c>
    </row>
    <row r="5">
      <c r="A5" t="n">
        <v>0.0625</v>
      </c>
    </row>
    <row r="6">
      <c r="A6" t="n">
        <v>100.0123</v>
      </c>
    </row>
    <row r="7">
      <c r="A7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YIELDMAT(A2,A3,A4,A5,0,A7)</f>
        <v/>
      </c>
      <c r="Z1">
        <f>1111+2222</f>
        <v/>
      </c>
    </row>
    <row r="2">
      <c r="A2" t="n">
        <v>39522</v>
      </c>
    </row>
    <row r="3">
      <c r="A3" t="n">
        <v>39755</v>
      </c>
    </row>
    <row r="4">
      <c r="A4" t="n">
        <v>39394</v>
      </c>
    </row>
    <row r="5">
      <c r="A5" t="n">
        <v>0.0625</v>
      </c>
    </row>
    <row r="6">
      <c r="A6" t="n">
        <v>100.0123</v>
      </c>
    </row>
    <row r="7">
      <c r="A7" t="n">
        <v>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YIELDMAT(A2,A3,A4,A5,A6,5)</f>
        <v/>
      </c>
      <c r="Z1">
        <f>1111+2222</f>
        <v/>
      </c>
    </row>
    <row r="2">
      <c r="A2" t="n">
        <v>39522</v>
      </c>
    </row>
    <row r="3">
      <c r="A3" t="n">
        <v>39755</v>
      </c>
    </row>
    <row r="4">
      <c r="A4" t="n">
        <v>39394</v>
      </c>
    </row>
    <row r="5">
      <c r="A5" t="n">
        <v>0.0625</v>
      </c>
    </row>
    <row r="6">
      <c r="A6" t="n">
        <v>100.0123</v>
      </c>
    </row>
    <row r="7">
      <c r="A7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YIELDMAT(A2,A3,"not a date",A5,A6,A7)</f>
        <v/>
      </c>
      <c r="Z1">
        <f>1111+2222</f>
        <v/>
      </c>
    </row>
    <row r="2">
      <c r="A2" t="n">
        <v>39522</v>
      </c>
    </row>
    <row r="3">
      <c r="A3" t="n">
        <v>39755</v>
      </c>
    </row>
    <row r="4">
      <c r="A4" t="n">
        <v>39394</v>
      </c>
    </row>
    <row r="5">
      <c r="A5" t="n">
        <v>0.0625</v>
      </c>
    </row>
    <row r="6">
      <c r="A6" t="n">
        <v>100.0123</v>
      </c>
    </row>
    <row r="7">
      <c r="A7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ROUND(Z.TEST(A2:A11,4),6)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ROUND(Z.TEST(A2:A11,6),6)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ROUND(2*MIN(Z.TEST(A2:A11,4),1-Z.TEST(A2:A11,4)),6)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ROUND(2*MIN(Z.TEST(A2:A11,6),1-Z.TEST(A2:A11,6)),6)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ROUND(Z.TEST(A2:A11,4),12)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ROUND(Z.TEST(A2:A11,4,2.5),12)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Z.TEST(A20:A21,4)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ROUND(ZTEST(A2:A11,4),6)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ROUND(ZTEST(A2:A11,6),6)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ROUND(ZTEST(A2:A11,4)-Z.TEST(A2:A11,4),15)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ROUND(ZTEST(A2:A11,4,2.5)-Z.TEST(A2:A11,4,2.5),15)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ROUND(ZTEST(A2:A11,4),12)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F1">
        <f>ZTEST(A20:A21,4)</f>
        <v/>
      </c>
      <c r="Z1">
        <f>1111+2222</f>
        <v/>
      </c>
    </row>
    <row r="2">
      <c r="A2" t="n">
        <v>3</v>
      </c>
    </row>
    <row r="3">
      <c r="A3" t="n">
        <v>6</v>
      </c>
    </row>
    <row r="4">
      <c r="A4" t="n">
        <v>7</v>
      </c>
    </row>
    <row r="5">
      <c r="A5" t="n">
        <v>8</v>
      </c>
    </row>
    <row r="6">
      <c r="A6" t="n">
        <v>6</v>
      </c>
    </row>
    <row r="7">
      <c r="A7" t="n">
        <v>5</v>
      </c>
    </row>
    <row r="8">
      <c r="A8" t="n">
        <v>4</v>
      </c>
    </row>
    <row r="9">
      <c r="A9" t="n">
        <v>2</v>
      </c>
    </row>
    <row r="10">
      <c r="A10" t="n">
        <v>1</v>
      </c>
    </row>
    <row r="11">
      <c r="A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2026-08-31T23:24:57Z</dcterms:created>
  <dcterms:modified xmlns:dcterms="http://purl.org/dc/terms/" xmlns:xsi="http://www.w3.org/2001/XMLSchema-instance" xsi:type="dcterms:W3CDTF">2026-08-31T23:24:57Z</dcterms:modified>
</cp:coreProperties>
</file>